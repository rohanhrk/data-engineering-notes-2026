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b8fb75050f3774b/Desktop/Data Engineering - Shashank Mishra/data-engineering-notes/"/>
    </mc:Choice>
  </mc:AlternateContent>
  <xr:revisionPtr revIDLastSave="3" documentId="8_{1C7BE210-F8F6-4C7D-B8D0-35788FEBC4CF}" xr6:coauthVersionLast="47" xr6:coauthVersionMax="47" xr10:uidLastSave="{C1DCE882-0812-42EC-8847-36C1AF6794B7}"/>
  <bookViews>
    <workbookView xWindow="-96" yWindow="-96" windowWidth="23232" windowHeight="13152" activeTab="1" xr2:uid="{00000000-000D-0000-FFFF-FFFF00000000}"/>
  </bookViews>
  <sheets>
    <sheet name="Dashboard" sheetId="1" r:id="rId1"/>
    <sheet name="Daily Tracker" sheetId="2" r:id="rId2"/>
    <sheet name="Detailed Timetable" sheetId="3" r:id="rId3"/>
    <sheet name="Daily Schedule" sheetId="4" r:id="rId4"/>
    <sheet name="Monthly Goals" sheetId="5" r:id="rId5"/>
    <sheet name="Topic Tracker" sheetId="6" r:id="rId6"/>
    <sheet name="Module Tracker" sheetId="7" r:id="rId7"/>
    <sheet name="Project Tracker" sheetId="8" r:id="rId8"/>
    <sheet name="Interview Tracker" sheetId="9" r:id="rId9"/>
    <sheet name="Job Application Tracker" sheetId="10" r:id="rId10"/>
    <sheet name="Weekly Review" sheetId="11" r:id="rId11"/>
    <sheet name="Jan+ Continuation" sheetId="12" r:id="rId12"/>
  </sheets>
  <definedNames>
    <definedName name="_xlnm._FilterDatabase" localSheetId="3" hidden="1">'Daily Schedule'!$A$1:$D$17</definedName>
    <definedName name="_xlnm._FilterDatabase" localSheetId="1" hidden="1">'Daily Tracker'!$A$1:$X$87</definedName>
    <definedName name="_xlnm._FilterDatabase" localSheetId="0" hidden="1">Dashboard!$A$1:$B$15</definedName>
    <definedName name="_xlnm._FilterDatabase" localSheetId="2" hidden="1">'Detailed Timetable'!$A$1:$M$87</definedName>
    <definedName name="_xlnm._FilterDatabase" localSheetId="11" hidden="1">'Jan+ Continuation'!$A$1:$O$32</definedName>
    <definedName name="_xlnm._FilterDatabase" localSheetId="6" hidden="1">'Module Tracker'!$A$1:$E$13</definedName>
    <definedName name="_xlnm._FilterDatabase" localSheetId="4" hidden="1">'Monthly Goals'!$A$1:$G$4</definedName>
    <definedName name="_xlnm._FilterDatabase" localSheetId="7" hidden="1">'Project Tracker'!$A$1:$O$4</definedName>
    <definedName name="_xlnm._FilterDatabase" localSheetId="5" hidden="1">'Topic Tracker'!$A$1:$I$17</definedName>
    <definedName name="_xlnm._FilterDatabase" localSheetId="10" hidden="1">'Weekly Review'!$A$1:$N$13</definedName>
  </definedNames>
  <calcPr calcId="191029"/>
</workbook>
</file>

<file path=xl/calcChain.xml><?xml version="1.0" encoding="utf-8"?>
<calcChain xmlns="http://schemas.openxmlformats.org/spreadsheetml/2006/main">
  <c r="Q87" i="2" l="1"/>
  <c r="P87" i="2"/>
  <c r="Q86" i="2"/>
  <c r="P86" i="2"/>
  <c r="Q85" i="2"/>
  <c r="P85" i="2"/>
  <c r="Q84" i="2"/>
  <c r="P84" i="2"/>
  <c r="Q83" i="2"/>
  <c r="P83" i="2"/>
  <c r="Q82" i="2"/>
  <c r="P82" i="2"/>
  <c r="Q81" i="2"/>
  <c r="P81" i="2"/>
  <c r="Q80" i="2"/>
  <c r="P80" i="2"/>
  <c r="Q79" i="2"/>
  <c r="P79" i="2"/>
  <c r="Q78" i="2"/>
  <c r="P78" i="2"/>
  <c r="Q77" i="2"/>
  <c r="P77" i="2"/>
  <c r="Q76" i="2"/>
  <c r="P76" i="2"/>
  <c r="Q75" i="2"/>
  <c r="P75" i="2"/>
  <c r="Q74" i="2"/>
  <c r="P74" i="2"/>
  <c r="Q73" i="2"/>
  <c r="P73" i="2"/>
  <c r="Q72" i="2"/>
  <c r="P72" i="2"/>
  <c r="Q71" i="2"/>
  <c r="P71" i="2"/>
  <c r="Q70" i="2"/>
  <c r="P70" i="2"/>
  <c r="Q69" i="2"/>
  <c r="P69" i="2"/>
  <c r="Q68" i="2"/>
  <c r="P68" i="2"/>
  <c r="Q67" i="2"/>
  <c r="P67" i="2"/>
  <c r="Q66" i="2"/>
  <c r="P66" i="2"/>
  <c r="Q65" i="2"/>
  <c r="P65" i="2"/>
  <c r="Q64" i="2"/>
  <c r="P64" i="2"/>
  <c r="Q63" i="2"/>
  <c r="P63" i="2"/>
  <c r="Q62" i="2"/>
  <c r="P62" i="2"/>
  <c r="Q61" i="2"/>
  <c r="P61" i="2"/>
  <c r="Q60" i="2"/>
  <c r="P60" i="2"/>
  <c r="Q59" i="2"/>
  <c r="P59" i="2"/>
  <c r="Q58" i="2"/>
  <c r="P58" i="2"/>
  <c r="Q57" i="2"/>
  <c r="P57" i="2"/>
  <c r="Q56" i="2"/>
  <c r="P56" i="2"/>
  <c r="Q55" i="2"/>
  <c r="P55" i="2"/>
  <c r="Q54" i="2"/>
  <c r="P54" i="2"/>
  <c r="Q53" i="2"/>
  <c r="P53" i="2"/>
  <c r="Q52" i="2"/>
  <c r="P52" i="2"/>
  <c r="Q51" i="2"/>
  <c r="P51" i="2"/>
  <c r="Q50" i="2"/>
  <c r="P50" i="2"/>
  <c r="Q49" i="2"/>
  <c r="P49" i="2"/>
  <c r="Q48" i="2"/>
  <c r="P48" i="2"/>
  <c r="Q47" i="2"/>
  <c r="P47" i="2"/>
  <c r="Q46" i="2"/>
  <c r="P46" i="2"/>
  <c r="Q45" i="2"/>
  <c r="P45" i="2"/>
  <c r="Q44" i="2"/>
  <c r="P44" i="2"/>
  <c r="Q43" i="2"/>
  <c r="P43" i="2"/>
  <c r="Q42" i="2"/>
  <c r="P42" i="2"/>
  <c r="Q41" i="2"/>
  <c r="P41" i="2"/>
  <c r="Q40" i="2"/>
  <c r="P40" i="2"/>
  <c r="Q39" i="2"/>
  <c r="P39" i="2"/>
  <c r="Q38" i="2"/>
  <c r="P38" i="2"/>
  <c r="Q37" i="2"/>
  <c r="P37" i="2"/>
  <c r="Q36" i="2"/>
  <c r="P36" i="2"/>
  <c r="Q35" i="2"/>
  <c r="P35" i="2"/>
  <c r="Q34" i="2"/>
  <c r="P34" i="2"/>
  <c r="Q33" i="2"/>
  <c r="P33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Q5" i="2"/>
  <c r="P5" i="2"/>
  <c r="Q4" i="2"/>
  <c r="P4" i="2"/>
  <c r="Q3" i="2"/>
  <c r="P3" i="2"/>
  <c r="Q2" i="2"/>
  <c r="P2" i="2"/>
  <c r="B5" i="1" s="1"/>
  <c r="B14" i="1"/>
  <c r="B13" i="1"/>
  <c r="B12" i="1"/>
  <c r="B11" i="1"/>
  <c r="B10" i="1"/>
  <c r="B9" i="1"/>
  <c r="B8" i="1"/>
  <c r="B7" i="1"/>
  <c r="B6" i="1"/>
  <c r="B4" i="1"/>
  <c r="B3" i="1"/>
  <c r="E4" i="1" s="1"/>
  <c r="B2" i="1"/>
  <c r="D4" i="1" s="1"/>
</calcChain>
</file>

<file path=xl/sharedStrings.xml><?xml version="1.0" encoding="utf-8"?>
<sst xmlns="http://schemas.openxmlformats.org/spreadsheetml/2006/main" count="2987" uniqueCount="355">
  <si>
    <t>DATA ENGINEER JOB ROADMAP — DASHBOARD</t>
  </si>
  <si>
    <t>Total planned days</t>
  </si>
  <si>
    <t>Planned</t>
  </si>
  <si>
    <t>Completed</t>
  </si>
  <si>
    <t>Completed days</t>
  </si>
  <si>
    <t>Days</t>
  </si>
  <si>
    <t>Completion %</t>
  </si>
  <si>
    <t>Total study hours</t>
  </si>
  <si>
    <t>Python sessions completed</t>
  </si>
  <si>
    <t>SQL sessions completed</t>
  </si>
  <si>
    <t>PySpark sessions completed</t>
  </si>
  <si>
    <t>Interview questions logged</t>
  </si>
  <si>
    <t>Interview questions correct</t>
  </si>
  <si>
    <t>Projects completed</t>
  </si>
  <si>
    <t>Applications sent</t>
  </si>
  <si>
    <t>Interviews received</t>
  </si>
  <si>
    <t>Offers</t>
  </si>
  <si>
    <t>Success metric</t>
  </si>
  <si>
    <t>Data Engineer Job Offer</t>
  </si>
  <si>
    <t>Date</t>
  </si>
  <si>
    <t>Day</t>
  </si>
  <si>
    <t>Phase</t>
  </si>
  <si>
    <t>Main Objective</t>
  </si>
  <si>
    <t>Yoga/Exercise/Meditation</t>
  </si>
  <si>
    <t>Python Problem Solving</t>
  </si>
  <si>
    <t>SQL Practice</t>
  </si>
  <si>
    <t>PySpark Practice</t>
  </si>
  <si>
    <t>Real Study Hours</t>
  </si>
  <si>
    <t>Project Work</t>
  </si>
  <si>
    <t>Interview Questions</t>
  </si>
  <si>
    <t>Revision</t>
  </si>
  <si>
    <t>Resume/Career Task</t>
  </si>
  <si>
    <t>Job Applications</t>
  </si>
  <si>
    <t>Journal</t>
  </si>
  <si>
    <t>Total Study Hours</t>
  </si>
  <si>
    <t>Overall Completion %</t>
  </si>
  <si>
    <t>Energy Level</t>
  </si>
  <si>
    <t>Focus Level</t>
  </si>
  <si>
    <t>Confidence Level</t>
  </si>
  <si>
    <t>Biggest Learning</t>
  </si>
  <si>
    <t>Biggest Problem</t>
  </si>
  <si>
    <t>Tomorrow's Priority</t>
  </si>
  <si>
    <t>Status</t>
  </si>
  <si>
    <t>Wednesday</t>
  </si>
  <si>
    <t>October — Fundamentals + Databricks + Snowflake</t>
  </si>
  <si>
    <t>AI Fundamentals + interview foundation</t>
  </si>
  <si>
    <t>Not Started</t>
  </si>
  <si>
    <t>Define Databricks project architecture and GitHub structure</t>
  </si>
  <si>
    <t>SQL + Python fundamentals + Spark/Hadoop/Kafka basics</t>
  </si>
  <si>
    <t>Same-day active recall; explain one topic in 2 minutes</t>
  </si>
  <si>
    <t>Baseline resume inventory and DE target-role list</t>
  </si>
  <si>
    <t>Thursday</t>
  </si>
  <si>
    <t>Friday</t>
  </si>
  <si>
    <t>Saturday</t>
  </si>
  <si>
    <t>Sunday</t>
  </si>
  <si>
    <t>Databricks + Delta Lake + PySpark</t>
  </si>
  <si>
    <t>Build ingestion + Bronze/Silver layers + data quality</t>
  </si>
  <si>
    <t>PySpark DataFrame API, joins, partitions, shuffle</t>
  </si>
  <si>
    <t>Revise SQL/PySpark + prior 3 days</t>
  </si>
  <si>
    <t>GitHub README + project documentation</t>
  </si>
  <si>
    <t>Monday</t>
  </si>
  <si>
    <t>Tuesday</t>
  </si>
  <si>
    <t>Databricks project + Unity Catalog + optimization</t>
  </si>
  <si>
    <t>Complete Gold layer, optimization, Unity Catalog and documentation</t>
  </si>
  <si>
    <t>Spark architecture, driver/executors, stages/tasks, DAG, shuffle</t>
  </si>
  <si>
    <t>Spark/PySpark/Databricks Revision 1 + 10–15 questions</t>
  </si>
  <si>
    <t>Resume V1 project bullets</t>
  </si>
  <si>
    <t>Snowflake + Data Warehousing + Data Modelling</t>
  </si>
  <si>
    <t>Build Snowflake staging + transformations + star schema + incremental load</t>
  </si>
  <si>
    <t>DW modelling, ETL vs ELT, Snowflake architecture, RBAC</t>
  </si>
  <si>
    <t>SQL + DW/Snowflake revision</t>
  </si>
  <si>
    <t>Finalize Resume V1 + LinkedIn/GitHub</t>
  </si>
  <si>
    <t>November — AWS + Applications + Interview Prep</t>
  </si>
  <si>
    <t>AWS fundamentals for Data Engineering</t>
  </si>
  <si>
    <t>S3 landing + Glue catalog/job + Athena</t>
  </si>
  <si>
    <t>AWS DE fundamentals and architecture</t>
  </si>
  <si>
    <t>Revise Databricks/Snowflake/SQL/PySpark</t>
  </si>
  <si>
    <t>Start applications + referrals</t>
  </si>
  <si>
    <t>In Progress</t>
  </si>
  <si>
    <t>AWS + EMR + PySpark pipeline</t>
  </si>
  <si>
    <t>Add EMR PySpark processing + monitoring</t>
  </si>
  <si>
    <t>AWS/Spark/PySpark scenarios</t>
  </si>
  <si>
    <t>Weak-area revision from interviews</t>
  </si>
  <si>
    <t>Daily applications + recruiter outreach</t>
  </si>
  <si>
    <t>3-project portfolio + system design</t>
  </si>
  <si>
    <t>Polish all 3 projects, diagrams, README, tests and resume bullets</t>
  </si>
  <si>
    <t>Batch/streaming, lakehouse, warehouse, reliability, quality</t>
  </si>
  <si>
    <t>Mock interviews + targeted revision</t>
  </si>
  <si>
    <t>Resume V2 + applications/referrals</t>
  </si>
  <si>
    <t>Interview readiness + platform depth</t>
  </si>
  <si>
    <t>Only polish/fix gaps found through interviews</t>
  </si>
  <si>
    <t>Mixed SQL/Python/PySpark/Spark/AWS/Databricks/Snowflake</t>
  </si>
  <si>
    <t>Spaced revision of all core topics</t>
  </si>
  <si>
    <t>Aggressive applications + follow-ups</t>
  </si>
  <si>
    <t>December — Applications + Interviews + Revision</t>
  </si>
  <si>
    <t>Interview cycle + coding revision</t>
  </si>
  <si>
    <t>No new project; fix interview-discovered gaps</t>
  </si>
  <si>
    <t>SQL/Python/PySpark + mock interview</t>
  </si>
  <si>
    <t>High-frequency revision</t>
  </si>
  <si>
    <t>Applications + follow-ups</t>
  </si>
  <si>
    <t>Cloud + Databricks + Snowflake depth</t>
  </si>
  <si>
    <t>Rehearse architecture, trade-offs and optimization</t>
  </si>
  <si>
    <t>AWS/Databricks/Snowflake deep dives</t>
  </si>
  <si>
    <t>Actual-interview weakness revision</t>
  </si>
  <si>
    <t>Applications/referrals</t>
  </si>
  <si>
    <t>System design + mock interviews</t>
  </si>
  <si>
    <t>30-sec / 2-min / 10-min project explanations</t>
  </si>
  <si>
    <t>Full mock: SQL + coding + DE + system design</t>
  </si>
  <si>
    <t>Weakness-driven revision</t>
  </si>
  <si>
    <t>Applications + referrals + follow-ups</t>
  </si>
  <si>
    <t>Offer-focused interview/application sprint</t>
  </si>
  <si>
    <t>Maintain portfolio; no unnecessary new learning</t>
  </si>
  <si>
    <t>Mixed interview sets and mocks</t>
  </si>
  <si>
    <t>Spaced revision + flash explanations</t>
  </si>
  <si>
    <t>Applications/referrals/follow-ups</t>
  </si>
  <si>
    <t>Primary Focus</t>
  </si>
  <si>
    <t>Real Study Breakdown</t>
  </si>
  <si>
    <t>Python Task</t>
  </si>
  <si>
    <t>SQL Task</t>
  </si>
  <si>
    <t>PySpark Task</t>
  </si>
  <si>
    <t>Project Task</t>
  </si>
  <si>
    <t>Interview Task</t>
  </si>
  <si>
    <t>Revision Task</t>
  </si>
  <si>
    <t>Career Task</t>
  </si>
  <si>
    <t>Expected Deliverable</t>
  </si>
  <si>
    <t>AI awareness → concise notes → explain aloud → interview questions → SQL/Python/PySpark practice</t>
  </si>
  <si>
    <t>Arrays/strings + data structures</t>
  </si>
  <si>
    <t>SELECT/WHERE/GROUP BY</t>
  </si>
  <si>
    <t>DataFrame creation/select/filter</t>
  </si>
  <si>
    <t>Study system started + Databricks project skeleton</t>
  </si>
  <si>
    <t>Hash maps/sets + functions</t>
  </si>
  <si>
    <t>JOIN patterns</t>
  </si>
  <si>
    <t>withColumn + when/otherwise</t>
  </si>
  <si>
    <t>Two pointers/sliding window</t>
  </si>
  <si>
    <t>CTEs + subqueries</t>
  </si>
  <si>
    <t>joins + aggregations</t>
  </si>
  <si>
    <t>Stack/queue + exceptions</t>
  </si>
  <si>
    <t>Window functions</t>
  </si>
  <si>
    <t>window functions</t>
  </si>
  <si>
    <t>Databricks architecture → Delta → Bronze/Silver/Gold → hands-on → interview questions</t>
  </si>
  <si>
    <t>Recursion + file handling</t>
  </si>
  <si>
    <t>Date functions</t>
  </si>
  <si>
    <t>partition/repartition/coalesce</t>
  </si>
  <si>
    <t>Working Bronze/Silver pipeline</t>
  </si>
  <si>
    <t>Sorting/searching + comprehensions</t>
  </si>
  <si>
    <t>Ranking + deduplication</t>
  </si>
  <si>
    <t>cache/persist/broadcast</t>
  </si>
  <si>
    <t>Linked list + OOP refresh</t>
  </si>
  <si>
    <t>Mixed SQL interview problem</t>
  </si>
  <si>
    <t>Mixed PySpark problem</t>
  </si>
  <si>
    <t>Project build → Unity Catalog → partitioning → optimization → debugging → explain</t>
  </si>
  <si>
    <t>Databricks project interview-ready</t>
  </si>
  <si>
    <t>DW architecture → staging → loading → fact/dimension → incremental loads → hands-on</t>
  </si>
  <si>
    <t>Snowflake MVP + Resume V1</t>
  </si>
  <si>
    <t>S3/IAM/Glue/Athena → architecture → hands-on</t>
  </si>
  <si>
    <t>AWS project foundation + first applications</t>
  </si>
  <si>
    <t>EMR → PySpark on AWS → IAM → monitoring → debugging</t>
  </si>
  <si>
    <t>AWS pipeline working</t>
  </si>
  <si>
    <t>Finish AWS → batch/streaming → reliability → scalability → project explanation</t>
  </si>
  <si>
    <t>3 projects + Resume V2</t>
  </si>
  <si>
    <t>Interview drills → project explanation → architecture → debugging → gaps</t>
  </si>
  <si>
    <t>Interview-ready portfolio</t>
  </si>
  <si>
    <t>Interview prep → coding → project stories → mock → weakness repair</t>
  </si>
  <si>
    <t>Feedback + weakness list</t>
  </si>
  <si>
    <t>Platform scenarios → architecture → troubleshooting → mocks</t>
  </si>
  <si>
    <t>Strong platform interview readiness</t>
  </si>
  <si>
    <t>System design → mock → feedback → revision → applications</t>
  </si>
  <si>
    <t>Interview performance improving</t>
  </si>
  <si>
    <t>Interview prep → weak-area repair → application pipeline</t>
  </si>
  <si>
    <t>Maximum readiness + active offer pipeline</t>
  </si>
  <si>
    <t>Time</t>
  </si>
  <si>
    <t>Activity</t>
  </si>
  <si>
    <t>Duration</t>
  </si>
  <si>
    <t>Rule</t>
  </si>
  <si>
    <t>06:00–07:00</t>
  </si>
  <si>
    <t>Yoga / Exercise / Meditation</t>
  </si>
  <si>
    <t>1 hr</t>
  </si>
  <si>
    <t>Health, focus, stress</t>
  </si>
  <si>
    <t>07:00–08:00</t>
  </si>
  <si>
    <t>Breakfast + preparation</t>
  </si>
  <si>
    <t>No study</t>
  </si>
  <si>
    <t>08:00–09:00</t>
  </si>
  <si>
    <t>Coding + DSA + DE Python</t>
  </si>
  <si>
    <t>09:00–10:00</t>
  </si>
  <si>
    <t>SQL + PySpark Problem Solving</t>
  </si>
  <si>
    <t>Split based on weakness</t>
  </si>
  <si>
    <t>10:00–10:30</t>
  </si>
  <si>
    <t>Break</t>
  </si>
  <si>
    <t>30 min</t>
  </si>
  <si>
    <t>Screen rest</t>
  </si>
  <si>
    <t>10:30–12:30</t>
  </si>
  <si>
    <t>Real Study 1 — Learn + Notes</t>
  </si>
  <si>
    <t>2 hrs</t>
  </si>
  <si>
    <t>Active learning, concise notes</t>
  </si>
  <si>
    <t>12:30–13:15</t>
  </si>
  <si>
    <t>Lunch + rest</t>
  </si>
  <si>
    <t>45 min</t>
  </si>
  <si>
    <t>Recovery</t>
  </si>
  <si>
    <t>13:15–15:15</t>
  </si>
  <si>
    <t>Real Study 2 — Hands-on / Project</t>
  </si>
  <si>
    <t>Build, code, debug</t>
  </si>
  <si>
    <t>15:15–15:30</t>
  </si>
  <si>
    <t>15 min</t>
  </si>
  <si>
    <t>15:30–17:30</t>
  </si>
  <si>
    <t>Real Study 3 — Project / Docs / Interview</t>
  </si>
  <si>
    <t>Build, explain, document</t>
  </si>
  <si>
    <t>17:30–18:30</t>
  </si>
  <si>
    <t>Walk / recovery</t>
  </si>
  <si>
    <t>Movement</t>
  </si>
  <si>
    <t>18:30–20:30</t>
  </si>
  <si>
    <t>Real Study 4 — Revision + Interview / Career</t>
  </si>
  <si>
    <t>Interview + revision + career</t>
  </si>
  <si>
    <t>20:30–21:15</t>
  </si>
  <si>
    <t>Dinner</t>
  </si>
  <si>
    <t>21:15–21:45</t>
  </si>
  <si>
    <t>Learning, problems, tomorrow</t>
  </si>
  <si>
    <t>21:45–22:30</t>
  </si>
  <si>
    <t>Wind down</t>
  </si>
  <si>
    <t>No heavy study</t>
  </si>
  <si>
    <t>22:30–06:00</t>
  </si>
  <si>
    <t>Sleep</t>
  </si>
  <si>
    <t>7.5 hrs</t>
  </si>
  <si>
    <t>Target 7–8 hours</t>
  </si>
  <si>
    <t>Month</t>
  </si>
  <si>
    <t>Goal</t>
  </si>
  <si>
    <t>Key Deliverables</t>
  </si>
  <si>
    <t>Deadline</t>
  </si>
  <si>
    <t>Notes</t>
  </si>
  <si>
    <t>October 2026</t>
  </si>
  <si>
    <t>Fundamentals + Databricks + Snowflake</t>
  </si>
  <si>
    <t>Databricks project; Snowflake project; Resume V1; AI awareness</t>
  </si>
  <si>
    <t>Hands-on over passive videos</t>
  </si>
  <si>
    <t>November 2026</t>
  </si>
  <si>
    <t>AWS + applications + 3-project portfolio</t>
  </si>
  <si>
    <t>AWS project; 3 projects; Resume V2; daily applications/referrals</t>
  </si>
  <si>
    <t>Start applications aggressively</t>
  </si>
  <si>
    <t>December 2026</t>
  </si>
  <si>
    <t>Get the job</t>
  </si>
  <si>
    <t>Applications; interviews; mocks; system design; weakness revision</t>
  </si>
  <si>
    <t>Do not make December a heavy learning month</t>
  </si>
  <si>
    <t>Topic</t>
  </si>
  <si>
    <t>Learn</t>
  </si>
  <si>
    <t>Practice</t>
  </si>
  <si>
    <t>Project</t>
  </si>
  <si>
    <t>Revision 1</t>
  </si>
  <si>
    <t>Revision 2</t>
  </si>
  <si>
    <t>Revision 3</t>
  </si>
  <si>
    <t>Confidence / 5</t>
  </si>
  <si>
    <t>SQL</t>
  </si>
  <si>
    <t>Python</t>
  </si>
  <si>
    <t>PySpark</t>
  </si>
  <si>
    <t>Spark</t>
  </si>
  <si>
    <t>Hadoop</t>
  </si>
  <si>
    <t>Kafka</t>
  </si>
  <si>
    <t>Airflow</t>
  </si>
  <si>
    <t>Databricks</t>
  </si>
  <si>
    <t>Delta Lake</t>
  </si>
  <si>
    <t>Unity Catalog</t>
  </si>
  <si>
    <t>Snowflake</t>
  </si>
  <si>
    <t>AWS</t>
  </si>
  <si>
    <t>Data Modelling</t>
  </si>
  <si>
    <t>Data Warehousing</t>
  </si>
  <si>
    <t>AI Fundamentals</t>
  </si>
  <si>
    <t>System Design</t>
  </si>
  <si>
    <t>Module Name</t>
  </si>
  <si>
    <t>Foundation Revision</t>
  </si>
  <si>
    <t>Is Practice Interview Question?</t>
  </si>
  <si>
    <t>How Many Times Revise Foundation</t>
  </si>
  <si>
    <t>How Many Interview Questions Gone Through</t>
  </si>
  <si>
    <t>Module 1 - SQL</t>
  </si>
  <si>
    <t>Module 2 - Big Data Fundamentals &amp; Hadoop</t>
  </si>
  <si>
    <t>Module 3 - Confluent Kafka</t>
  </si>
  <si>
    <t>Module 4 - NoSQL Database: MongoDB</t>
  </si>
  <si>
    <t>Module 5 - Apache Spark (PySpark)</t>
  </si>
  <si>
    <t>Module 6 - Apache Airflow</t>
  </si>
  <si>
    <t>Module 7 - AI Fundamentals for Data Engineering</t>
  </si>
  <si>
    <t>Module 8 - Data Warehousing &amp; Data Modelling</t>
  </si>
  <si>
    <t>Module 9 - Apache Iceberg</t>
  </si>
  <si>
    <t>Module 10 - Databricks &amp; AI</t>
  </si>
  <si>
    <t>Module 11 - Snowflake &amp; AI</t>
  </si>
  <si>
    <t>Module 12 - Complete AWS Cloud + Practical AI Data Engineering</t>
  </si>
  <si>
    <t>Project Name</t>
  </si>
  <si>
    <t>Technology</t>
  </si>
  <si>
    <t>Objective</t>
  </si>
  <si>
    <t>Architecture</t>
  </si>
  <si>
    <t>Data Source</t>
  </si>
  <si>
    <t>Pipeline</t>
  </si>
  <si>
    <t>Transformation</t>
  </si>
  <si>
    <t>Storage</t>
  </si>
  <si>
    <t>Testing</t>
  </si>
  <si>
    <t>Optimization</t>
  </si>
  <si>
    <t>Documentation</t>
  </si>
  <si>
    <t>GitHub</t>
  </si>
  <si>
    <t>Resume Added</t>
  </si>
  <si>
    <t>Interview Explanation Ready</t>
  </si>
  <si>
    <t>Project 1 — Databricks Lakehouse</t>
  </si>
  <si>
    <t>Databricks / PySpark / Delta / Unity Catalog</t>
  </si>
  <si>
    <t>Production-style lakehouse</t>
  </si>
  <si>
    <t>Bronze → Silver → Gold</t>
  </si>
  <si>
    <t>Ingestion → processing → serving</t>
  </si>
  <si>
    <t>Quality + incremental processing</t>
  </si>
  <si>
    <t>Partitioning / optimization</t>
  </si>
  <si>
    <t>Project 2 — Snowflake Warehouse</t>
  </si>
  <si>
    <t>Snowflake / SQL</t>
  </si>
  <si>
    <t>Dimensional warehouse + incremental loads</t>
  </si>
  <si>
    <t>Staging → warehouse</t>
  </si>
  <si>
    <t>Load → transform → model</t>
  </si>
  <si>
    <t>SQL transformations + incremental loading</t>
  </si>
  <si>
    <t>Performance concepts</t>
  </si>
  <si>
    <t>Project 3 — AWS Data Engineering</t>
  </si>
  <si>
    <t>S3 / Glue / Athena / EMR / PySpark / IAM</t>
  </si>
  <si>
    <t>Cloud data pipeline</t>
  </si>
  <si>
    <t>S3 → Glue/EMR → Athena</t>
  </si>
  <si>
    <t>Batch processing</t>
  </si>
  <si>
    <t>PySpark transformations</t>
  </si>
  <si>
    <t>S3 + catalog</t>
  </si>
  <si>
    <t>Monitoring / optimization</t>
  </si>
  <si>
    <t>Question</t>
  </si>
  <si>
    <t>Difficulty</t>
  </si>
  <si>
    <t>My Answer</t>
  </si>
  <si>
    <t>Correct?</t>
  </si>
  <si>
    <t>Weak Area</t>
  </si>
  <si>
    <t>Follow-up Question</t>
  </si>
  <si>
    <t>Revision Required?</t>
  </si>
  <si>
    <t>Revision Date</t>
  </si>
  <si>
    <t>Date Applied</t>
  </si>
  <si>
    <t>Company</t>
  </si>
  <si>
    <t>Role</t>
  </si>
  <si>
    <t>Location</t>
  </si>
  <si>
    <t>Job URL</t>
  </si>
  <si>
    <t>Source</t>
  </si>
  <si>
    <t>Referral</t>
  </si>
  <si>
    <t>Recruiter</t>
  </si>
  <si>
    <t>Interview Round</t>
  </si>
  <si>
    <t>Follow-up Date</t>
  </si>
  <si>
    <t>Result</t>
  </si>
  <si>
    <t>Week Ending</t>
  </si>
  <si>
    <t>Technical Progress</t>
  </si>
  <si>
    <t>Topics Completed</t>
  </si>
  <si>
    <t>Topics Pending</t>
  </si>
  <si>
    <t>Interview Questions Solved</t>
  </si>
  <si>
    <t>Coding Problems Solved</t>
  </si>
  <si>
    <t>Project Progress</t>
  </si>
  <si>
    <t>Resume Changes</t>
  </si>
  <si>
    <t>Applications</t>
  </si>
  <si>
    <t>Referrals</t>
  </si>
  <si>
    <t>Interviews</t>
  </si>
  <si>
    <t>Recruiter Responses</t>
  </si>
  <si>
    <t>Top 3 Weaknesses</t>
  </si>
  <si>
    <t>Next Week Priorities</t>
  </si>
  <si>
    <t>SQL + PySpark</t>
  </si>
  <si>
    <t>Interview Prep</t>
  </si>
  <si>
    <t>Project/Portfolio</t>
  </si>
  <si>
    <t>Apply → Interview → Weakness → Revise → Practice → Improve</t>
  </si>
  <si>
    <t>Maintain / improve existing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</si>
</sst>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-mmm\-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  <xf numFmtId="0" fontId="3" fillId="4" borderId="0" xfId="0" applyFont="1" applyFill="1" applyAlignment="1">
      <alignment vertical="top" wrapText="1"/>
    </xf>
    <xf numFmtId="165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9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Planned vs Completed Days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Dashboard!$D$2</c:f>
              <c:strCache>
                <c:ptCount val="1"/>
                <c:pt idx="0">
                  <c:v>Planned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Dashboard!$D$3:$D$4</c:f>
              <c:numCache>
                <c:formatCode>General</c:formatCode>
                <c:ptCount val="2"/>
                <c:pt idx="0">
                  <c:v>0</c:v>
                </c:pt>
                <c:pt idx="1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01-416F-922D-DEB956F972CB}"/>
            </c:ext>
          </c:extLst>
        </c:ser>
        <c:ser>
          <c:idx val="1"/>
          <c:order val="1"/>
          <c:tx>
            <c:strRef>
              <c:f>Dashboard!$E$2</c:f>
              <c:strCache>
                <c:ptCount val="1"/>
                <c:pt idx="0">
                  <c:v>Completed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Dashboard!$E$3:$E$4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01-416F-922D-DEB956F97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workbookViewId="0">
      <pane ySplit="1" topLeftCell="A2" activePane="bottomLeft" state="frozen"/>
      <selection pane="bottomLeft" activeCell="C17" sqref="C17"/>
    </sheetView>
  </sheetViews>
  <sheetFormatPr defaultRowHeight="14.4" x14ac:dyDescent="0.3"/>
  <cols>
    <col min="1" max="2" width="18" customWidth="1"/>
  </cols>
  <sheetData>
    <row r="1" spans="1:5" ht="37.950000000000003" customHeight="1" x14ac:dyDescent="0.3">
      <c r="A1" s="8" t="s">
        <v>0</v>
      </c>
      <c r="B1" s="9"/>
    </row>
    <row r="2" spans="1:5" x14ac:dyDescent="0.3">
      <c r="A2" s="2" t="s">
        <v>1</v>
      </c>
      <c r="B2" s="3">
        <f>COUNTA('Daily Tracker'!A2:A87)</f>
        <v>86</v>
      </c>
      <c r="D2" t="s">
        <v>2</v>
      </c>
      <c r="E2" t="s">
        <v>3</v>
      </c>
    </row>
    <row r="3" spans="1:5" x14ac:dyDescent="0.3">
      <c r="A3" s="2" t="s">
        <v>4</v>
      </c>
      <c r="B3" s="3">
        <f>COUNTIF('Daily Tracker'!X2:X87,"Completed")</f>
        <v>0</v>
      </c>
      <c r="D3" t="s">
        <v>5</v>
      </c>
      <c r="E3" t="s">
        <v>5</v>
      </c>
    </row>
    <row r="4" spans="1:5" x14ac:dyDescent="0.3">
      <c r="A4" s="2" t="s">
        <v>6</v>
      </c>
      <c r="B4" s="4">
        <f>IF(B2=0,0,B3/B2)</f>
        <v>0</v>
      </c>
      <c r="D4">
        <f>B2</f>
        <v>86</v>
      </c>
      <c r="E4">
        <f>B3</f>
        <v>0</v>
      </c>
    </row>
    <row r="5" spans="1:5" x14ac:dyDescent="0.3">
      <c r="A5" s="2" t="s">
        <v>7</v>
      </c>
      <c r="B5" s="3">
        <f>SUM('Daily Tracker'!P2:P87)</f>
        <v>668.5</v>
      </c>
    </row>
    <row r="6" spans="1:5" ht="28.8" x14ac:dyDescent="0.3">
      <c r="A6" s="2" t="s">
        <v>8</v>
      </c>
      <c r="B6" s="3">
        <f>COUNTIF('Daily Tracker'!F2:F87,"Completed")</f>
        <v>1</v>
      </c>
    </row>
    <row r="7" spans="1:5" ht="28.8" x14ac:dyDescent="0.3">
      <c r="A7" s="2" t="s">
        <v>9</v>
      </c>
      <c r="B7" s="3">
        <f>COUNTIF('Daily Tracker'!G2:G87,"Completed")</f>
        <v>1</v>
      </c>
    </row>
    <row r="8" spans="1:5" ht="28.8" x14ac:dyDescent="0.3">
      <c r="A8" s="2" t="s">
        <v>10</v>
      </c>
      <c r="B8" s="3">
        <f>COUNTIF('Daily Tracker'!H2:H87,"Completed")</f>
        <v>1</v>
      </c>
    </row>
    <row r="9" spans="1:5" ht="28.8" x14ac:dyDescent="0.3">
      <c r="A9" s="2" t="s">
        <v>11</v>
      </c>
      <c r="B9" s="3">
        <f>COUNTA('Interview Tracker'!C2:C1000)</f>
        <v>0</v>
      </c>
    </row>
    <row r="10" spans="1:5" ht="28.8" x14ac:dyDescent="0.3">
      <c r="A10" s="2" t="s">
        <v>12</v>
      </c>
      <c r="B10" s="3">
        <f>COUNTIF('Interview Tracker'!F2:F1000,"Yes")</f>
        <v>0</v>
      </c>
    </row>
    <row r="11" spans="1:5" x14ac:dyDescent="0.3">
      <c r="A11" s="2" t="s">
        <v>13</v>
      </c>
      <c r="B11" s="3">
        <f>COUNTIF('Project Tracker'!O2:O4,"Completed")</f>
        <v>0</v>
      </c>
    </row>
    <row r="12" spans="1:5" x14ac:dyDescent="0.3">
      <c r="A12" s="2" t="s">
        <v>14</v>
      </c>
      <c r="B12" s="3">
        <f>COUNTA('Job Application Tracker'!B2:B1000)</f>
        <v>0</v>
      </c>
    </row>
    <row r="13" spans="1:5" x14ac:dyDescent="0.3">
      <c r="A13" s="2" t="s">
        <v>15</v>
      </c>
      <c r="B13" s="3">
        <f>COUNTIF('Job Application Tracker'!J2:J1000,"&lt;&gt;")</f>
        <v>0</v>
      </c>
    </row>
    <row r="14" spans="1:5" x14ac:dyDescent="0.3">
      <c r="A14" s="2" t="s">
        <v>16</v>
      </c>
      <c r="B14" s="3">
        <f>COUNTIF('Job Application Tracker'!L2:L1000,"Offer")</f>
        <v>0</v>
      </c>
    </row>
    <row r="15" spans="1:5" ht="28.8" x14ac:dyDescent="0.3">
      <c r="A15" s="2" t="s">
        <v>17</v>
      </c>
      <c r="B15" s="5" t="s">
        <v>18</v>
      </c>
    </row>
  </sheetData>
  <autoFilter ref="A1:B15" xr:uid="{00000000-0009-0000-0000-000000000000}"/>
  <mergeCells count="1">
    <mergeCell ref="A1:B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87"/>
  <sheetViews>
    <sheetView showGridLines="0" tabSelected="1"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3" width="18" customWidth="1"/>
    <col min="4" max="4" width="42" customWidth="1"/>
    <col min="5" max="9" width="18" customWidth="1"/>
    <col min="10" max="13" width="42" customWidth="1"/>
    <col min="14" max="22" width="18" customWidth="1"/>
    <col min="23" max="23" width="42" customWidth="1"/>
    <col min="24" max="24" width="18" customWidth="1"/>
  </cols>
  <sheetData>
    <row r="1" spans="1:24" ht="37.950000000000003" customHeigh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</row>
    <row r="2" spans="1:24" ht="57.6" x14ac:dyDescent="0.3">
      <c r="A2" s="6">
        <v>46302</v>
      </c>
      <c r="B2" s="3" t="s">
        <v>43</v>
      </c>
      <c r="C2" s="3" t="s">
        <v>44</v>
      </c>
      <c r="D2" s="3" t="s">
        <v>45</v>
      </c>
      <c r="E2" s="3" t="s">
        <v>3</v>
      </c>
      <c r="F2" s="3" t="s">
        <v>3</v>
      </c>
      <c r="G2" s="3" t="s">
        <v>3</v>
      </c>
      <c r="H2" s="3" t="s">
        <v>3</v>
      </c>
      <c r="I2" s="3">
        <v>8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46</v>
      </c>
      <c r="O2" s="3" t="s">
        <v>3</v>
      </c>
      <c r="P2" s="3">
        <f t="shared" ref="P2:P33" si="0">IF(COUNTA(E2:O2)=0,0,SUM(IF(E2="Completed",1,0),IF(F2="Completed",1,0),IF(G2="Completed",1,0),IF(H2="Completed",1,0),IF(O2="Completed",0.5,0),I2))</f>
        <v>12.5</v>
      </c>
      <c r="Q2" s="4">
        <f t="shared" ref="Q2:Q33" si="1">MIN(1,COUNTIF(E2:O2,"Completed")/8)</f>
        <v>0.625</v>
      </c>
      <c r="R2" s="3"/>
      <c r="S2" s="3"/>
      <c r="T2" s="3"/>
      <c r="U2" s="3"/>
      <c r="V2" s="3"/>
      <c r="W2" s="3" t="s">
        <v>46</v>
      </c>
      <c r="X2" s="3"/>
    </row>
    <row r="3" spans="1:24" ht="57.6" x14ac:dyDescent="0.3">
      <c r="A3" s="6">
        <v>46303</v>
      </c>
      <c r="B3" s="3" t="s">
        <v>51</v>
      </c>
      <c r="C3" s="3" t="s">
        <v>44</v>
      </c>
      <c r="D3" s="3" t="s">
        <v>45</v>
      </c>
      <c r="E3" s="3" t="s">
        <v>46</v>
      </c>
      <c r="F3" s="3" t="s">
        <v>46</v>
      </c>
      <c r="G3" s="3" t="s">
        <v>46</v>
      </c>
      <c r="H3" s="3" t="s">
        <v>46</v>
      </c>
      <c r="I3" s="3">
        <v>8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46</v>
      </c>
      <c r="O3" s="3" t="s">
        <v>46</v>
      </c>
      <c r="P3" s="3">
        <f t="shared" si="0"/>
        <v>8</v>
      </c>
      <c r="Q3" s="4">
        <f t="shared" si="1"/>
        <v>0</v>
      </c>
      <c r="R3" s="3"/>
      <c r="S3" s="3"/>
      <c r="T3" s="3"/>
      <c r="U3" s="3"/>
      <c r="V3" s="3"/>
      <c r="W3" s="3" t="s">
        <v>46</v>
      </c>
      <c r="X3" s="3"/>
    </row>
    <row r="4" spans="1:24" ht="57.6" x14ac:dyDescent="0.3">
      <c r="A4" s="6">
        <v>46304</v>
      </c>
      <c r="B4" s="3" t="s">
        <v>52</v>
      </c>
      <c r="C4" s="3" t="s">
        <v>44</v>
      </c>
      <c r="D4" s="3" t="s">
        <v>45</v>
      </c>
      <c r="E4" s="3" t="s">
        <v>46</v>
      </c>
      <c r="F4" s="3" t="s">
        <v>46</v>
      </c>
      <c r="G4" s="3" t="s">
        <v>46</v>
      </c>
      <c r="H4" s="3" t="s">
        <v>46</v>
      </c>
      <c r="I4" s="3">
        <v>8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46</v>
      </c>
      <c r="O4" s="3" t="s">
        <v>46</v>
      </c>
      <c r="P4" s="3">
        <f t="shared" si="0"/>
        <v>8</v>
      </c>
      <c r="Q4" s="4">
        <f t="shared" si="1"/>
        <v>0</v>
      </c>
      <c r="R4" s="3"/>
      <c r="S4" s="3"/>
      <c r="T4" s="3"/>
      <c r="U4" s="3"/>
      <c r="V4" s="3"/>
      <c r="W4" s="3" t="s">
        <v>46</v>
      </c>
      <c r="X4" s="3"/>
    </row>
    <row r="5" spans="1:24" ht="57.6" x14ac:dyDescent="0.3">
      <c r="A5" s="6">
        <v>46305</v>
      </c>
      <c r="B5" s="3" t="s">
        <v>53</v>
      </c>
      <c r="C5" s="3" t="s">
        <v>44</v>
      </c>
      <c r="D5" s="3" t="s">
        <v>45</v>
      </c>
      <c r="E5" s="3" t="s">
        <v>46</v>
      </c>
      <c r="F5" s="3" t="s">
        <v>46</v>
      </c>
      <c r="G5" s="3" t="s">
        <v>46</v>
      </c>
      <c r="H5" s="3" t="s">
        <v>46</v>
      </c>
      <c r="I5" s="3">
        <v>8</v>
      </c>
      <c r="J5" s="3" t="s">
        <v>47</v>
      </c>
      <c r="K5" s="3" t="s">
        <v>48</v>
      </c>
      <c r="L5" s="3" t="s">
        <v>49</v>
      </c>
      <c r="M5" s="3" t="s">
        <v>50</v>
      </c>
      <c r="N5" s="3" t="s">
        <v>46</v>
      </c>
      <c r="O5" s="3" t="s">
        <v>46</v>
      </c>
      <c r="P5" s="3">
        <f t="shared" si="0"/>
        <v>8</v>
      </c>
      <c r="Q5" s="4">
        <f t="shared" si="1"/>
        <v>0</v>
      </c>
      <c r="R5" s="3"/>
      <c r="S5" s="3"/>
      <c r="T5" s="3"/>
      <c r="U5" s="3"/>
      <c r="V5" s="3"/>
      <c r="W5" s="3" t="s">
        <v>46</v>
      </c>
      <c r="X5" s="3"/>
    </row>
    <row r="6" spans="1:24" ht="57.6" x14ac:dyDescent="0.3">
      <c r="A6" s="6">
        <v>46306</v>
      </c>
      <c r="B6" s="3" t="s">
        <v>54</v>
      </c>
      <c r="C6" s="3" t="s">
        <v>44</v>
      </c>
      <c r="D6" s="3" t="s">
        <v>55</v>
      </c>
      <c r="E6" s="3" t="s">
        <v>46</v>
      </c>
      <c r="F6" s="3" t="s">
        <v>46</v>
      </c>
      <c r="G6" s="3" t="s">
        <v>46</v>
      </c>
      <c r="H6" s="3" t="s">
        <v>46</v>
      </c>
      <c r="I6" s="3">
        <v>6</v>
      </c>
      <c r="J6" s="3" t="s">
        <v>56</v>
      </c>
      <c r="K6" s="3" t="s">
        <v>57</v>
      </c>
      <c r="L6" s="3" t="s">
        <v>58</v>
      </c>
      <c r="M6" s="3" t="s">
        <v>59</v>
      </c>
      <c r="N6" s="3" t="s">
        <v>46</v>
      </c>
      <c r="O6" s="3" t="s">
        <v>46</v>
      </c>
      <c r="P6" s="3">
        <f t="shared" si="0"/>
        <v>6</v>
      </c>
      <c r="Q6" s="4">
        <f t="shared" si="1"/>
        <v>0</v>
      </c>
      <c r="R6" s="3"/>
      <c r="S6" s="3"/>
      <c r="T6" s="3"/>
      <c r="U6" s="3"/>
      <c r="V6" s="3"/>
      <c r="W6" s="3" t="s">
        <v>46</v>
      </c>
      <c r="X6" s="3"/>
    </row>
    <row r="7" spans="1:24" ht="57.6" x14ac:dyDescent="0.3">
      <c r="A7" s="6">
        <v>46307</v>
      </c>
      <c r="B7" s="3" t="s">
        <v>60</v>
      </c>
      <c r="C7" s="3" t="s">
        <v>44</v>
      </c>
      <c r="D7" s="3" t="s">
        <v>55</v>
      </c>
      <c r="E7" s="3" t="s">
        <v>46</v>
      </c>
      <c r="F7" s="3" t="s">
        <v>46</v>
      </c>
      <c r="G7" s="3" t="s">
        <v>46</v>
      </c>
      <c r="H7" s="3" t="s">
        <v>46</v>
      </c>
      <c r="I7" s="3">
        <v>8</v>
      </c>
      <c r="J7" s="3" t="s">
        <v>56</v>
      </c>
      <c r="K7" s="3" t="s">
        <v>57</v>
      </c>
      <c r="L7" s="3" t="s">
        <v>58</v>
      </c>
      <c r="M7" s="3" t="s">
        <v>59</v>
      </c>
      <c r="N7" s="3" t="s">
        <v>46</v>
      </c>
      <c r="O7" s="3" t="s">
        <v>46</v>
      </c>
      <c r="P7" s="3">
        <f t="shared" si="0"/>
        <v>8</v>
      </c>
      <c r="Q7" s="4">
        <f t="shared" si="1"/>
        <v>0</v>
      </c>
      <c r="R7" s="3"/>
      <c r="S7" s="3"/>
      <c r="T7" s="3"/>
      <c r="U7" s="3"/>
      <c r="V7" s="3"/>
      <c r="W7" s="3" t="s">
        <v>46</v>
      </c>
      <c r="X7" s="3"/>
    </row>
    <row r="8" spans="1:24" ht="57.6" x14ac:dyDescent="0.3">
      <c r="A8" s="6">
        <v>46308</v>
      </c>
      <c r="B8" s="3" t="s">
        <v>61</v>
      </c>
      <c r="C8" s="3" t="s">
        <v>44</v>
      </c>
      <c r="D8" s="3" t="s">
        <v>55</v>
      </c>
      <c r="E8" s="3" t="s">
        <v>46</v>
      </c>
      <c r="F8" s="3" t="s">
        <v>46</v>
      </c>
      <c r="G8" s="3" t="s">
        <v>46</v>
      </c>
      <c r="H8" s="3" t="s">
        <v>46</v>
      </c>
      <c r="I8" s="3">
        <v>8</v>
      </c>
      <c r="J8" s="3" t="s">
        <v>56</v>
      </c>
      <c r="K8" s="3" t="s">
        <v>57</v>
      </c>
      <c r="L8" s="3" t="s">
        <v>58</v>
      </c>
      <c r="M8" s="3" t="s">
        <v>59</v>
      </c>
      <c r="N8" s="3" t="s">
        <v>46</v>
      </c>
      <c r="O8" s="3" t="s">
        <v>46</v>
      </c>
      <c r="P8" s="3">
        <f t="shared" si="0"/>
        <v>8</v>
      </c>
      <c r="Q8" s="4">
        <f t="shared" si="1"/>
        <v>0</v>
      </c>
      <c r="R8" s="3"/>
      <c r="S8" s="3"/>
      <c r="T8" s="3"/>
      <c r="U8" s="3"/>
      <c r="V8" s="3"/>
      <c r="W8" s="3" t="s">
        <v>46</v>
      </c>
      <c r="X8" s="3"/>
    </row>
    <row r="9" spans="1:24" ht="57.6" x14ac:dyDescent="0.3">
      <c r="A9" s="6">
        <v>46309</v>
      </c>
      <c r="B9" s="3" t="s">
        <v>43</v>
      </c>
      <c r="C9" s="3" t="s">
        <v>44</v>
      </c>
      <c r="D9" s="3" t="s">
        <v>55</v>
      </c>
      <c r="E9" s="3" t="s">
        <v>46</v>
      </c>
      <c r="F9" s="3" t="s">
        <v>46</v>
      </c>
      <c r="G9" s="3" t="s">
        <v>46</v>
      </c>
      <c r="H9" s="3" t="s">
        <v>46</v>
      </c>
      <c r="I9" s="3">
        <v>8</v>
      </c>
      <c r="J9" s="3" t="s">
        <v>56</v>
      </c>
      <c r="K9" s="3" t="s">
        <v>57</v>
      </c>
      <c r="L9" s="3" t="s">
        <v>58</v>
      </c>
      <c r="M9" s="3" t="s">
        <v>59</v>
      </c>
      <c r="N9" s="3" t="s">
        <v>46</v>
      </c>
      <c r="O9" s="3" t="s">
        <v>46</v>
      </c>
      <c r="P9" s="3">
        <f t="shared" si="0"/>
        <v>8</v>
      </c>
      <c r="Q9" s="4">
        <f t="shared" si="1"/>
        <v>0</v>
      </c>
      <c r="R9" s="3"/>
      <c r="S9" s="3"/>
      <c r="T9" s="3"/>
      <c r="U9" s="3"/>
      <c r="V9" s="3"/>
      <c r="W9" s="3" t="s">
        <v>46</v>
      </c>
      <c r="X9" s="3"/>
    </row>
    <row r="10" spans="1:24" ht="57.6" x14ac:dyDescent="0.3">
      <c r="A10" s="6">
        <v>46310</v>
      </c>
      <c r="B10" s="3" t="s">
        <v>51</v>
      </c>
      <c r="C10" s="3" t="s">
        <v>44</v>
      </c>
      <c r="D10" s="3" t="s">
        <v>55</v>
      </c>
      <c r="E10" s="3" t="s">
        <v>46</v>
      </c>
      <c r="F10" s="3" t="s">
        <v>46</v>
      </c>
      <c r="G10" s="3" t="s">
        <v>46</v>
      </c>
      <c r="H10" s="3" t="s">
        <v>46</v>
      </c>
      <c r="I10" s="3">
        <v>8</v>
      </c>
      <c r="J10" s="3" t="s">
        <v>56</v>
      </c>
      <c r="K10" s="3" t="s">
        <v>57</v>
      </c>
      <c r="L10" s="3" t="s">
        <v>58</v>
      </c>
      <c r="M10" s="3" t="s">
        <v>59</v>
      </c>
      <c r="N10" s="3" t="s">
        <v>46</v>
      </c>
      <c r="O10" s="3" t="s">
        <v>46</v>
      </c>
      <c r="P10" s="3">
        <f t="shared" si="0"/>
        <v>8</v>
      </c>
      <c r="Q10" s="4">
        <f t="shared" si="1"/>
        <v>0</v>
      </c>
      <c r="R10" s="3"/>
      <c r="S10" s="3"/>
      <c r="T10" s="3"/>
      <c r="U10" s="3"/>
      <c r="V10" s="3"/>
      <c r="W10" s="3" t="s">
        <v>46</v>
      </c>
      <c r="X10" s="3"/>
    </row>
    <row r="11" spans="1:24" ht="57.6" x14ac:dyDescent="0.3">
      <c r="A11" s="6">
        <v>46311</v>
      </c>
      <c r="B11" s="3" t="s">
        <v>52</v>
      </c>
      <c r="C11" s="3" t="s">
        <v>44</v>
      </c>
      <c r="D11" s="3" t="s">
        <v>55</v>
      </c>
      <c r="E11" s="3" t="s">
        <v>46</v>
      </c>
      <c r="F11" s="3" t="s">
        <v>46</v>
      </c>
      <c r="G11" s="3" t="s">
        <v>46</v>
      </c>
      <c r="H11" s="3" t="s">
        <v>46</v>
      </c>
      <c r="I11" s="3">
        <v>8</v>
      </c>
      <c r="J11" s="3" t="s">
        <v>56</v>
      </c>
      <c r="K11" s="3" t="s">
        <v>57</v>
      </c>
      <c r="L11" s="3" t="s">
        <v>58</v>
      </c>
      <c r="M11" s="3" t="s">
        <v>59</v>
      </c>
      <c r="N11" s="3" t="s">
        <v>46</v>
      </c>
      <c r="O11" s="3" t="s">
        <v>46</v>
      </c>
      <c r="P11" s="3">
        <f t="shared" si="0"/>
        <v>8</v>
      </c>
      <c r="Q11" s="4">
        <f t="shared" si="1"/>
        <v>0</v>
      </c>
      <c r="R11" s="3"/>
      <c r="S11" s="3"/>
      <c r="T11" s="3"/>
      <c r="U11" s="3"/>
      <c r="V11" s="3"/>
      <c r="W11" s="3" t="s">
        <v>46</v>
      </c>
      <c r="X11" s="3"/>
    </row>
    <row r="12" spans="1:24" ht="57.6" x14ac:dyDescent="0.3">
      <c r="A12" s="6">
        <v>46312</v>
      </c>
      <c r="B12" s="3" t="s">
        <v>53</v>
      </c>
      <c r="C12" s="3" t="s">
        <v>44</v>
      </c>
      <c r="D12" s="3" t="s">
        <v>55</v>
      </c>
      <c r="E12" s="3" t="s">
        <v>46</v>
      </c>
      <c r="F12" s="3" t="s">
        <v>46</v>
      </c>
      <c r="G12" s="3" t="s">
        <v>46</v>
      </c>
      <c r="H12" s="3" t="s">
        <v>46</v>
      </c>
      <c r="I12" s="3">
        <v>8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46</v>
      </c>
      <c r="O12" s="3" t="s">
        <v>46</v>
      </c>
      <c r="P12" s="3">
        <f t="shared" si="0"/>
        <v>8</v>
      </c>
      <c r="Q12" s="4">
        <f t="shared" si="1"/>
        <v>0</v>
      </c>
      <c r="R12" s="3"/>
      <c r="S12" s="3"/>
      <c r="T12" s="3"/>
      <c r="U12" s="3"/>
      <c r="V12" s="3"/>
      <c r="W12" s="3" t="s">
        <v>46</v>
      </c>
      <c r="X12" s="3"/>
    </row>
    <row r="13" spans="1:24" ht="57.6" x14ac:dyDescent="0.3">
      <c r="A13" s="6">
        <v>46313</v>
      </c>
      <c r="B13" s="3" t="s">
        <v>54</v>
      </c>
      <c r="C13" s="3" t="s">
        <v>44</v>
      </c>
      <c r="D13" s="3" t="s">
        <v>55</v>
      </c>
      <c r="E13" s="3" t="s">
        <v>46</v>
      </c>
      <c r="F13" s="3" t="s">
        <v>46</v>
      </c>
      <c r="G13" s="3" t="s">
        <v>46</v>
      </c>
      <c r="H13" s="3" t="s">
        <v>46</v>
      </c>
      <c r="I13" s="3">
        <v>6</v>
      </c>
      <c r="J13" s="3" t="s">
        <v>56</v>
      </c>
      <c r="K13" s="3" t="s">
        <v>57</v>
      </c>
      <c r="L13" s="3" t="s">
        <v>58</v>
      </c>
      <c r="M13" s="3" t="s">
        <v>59</v>
      </c>
      <c r="N13" s="3" t="s">
        <v>46</v>
      </c>
      <c r="O13" s="3" t="s">
        <v>46</v>
      </c>
      <c r="P13" s="3">
        <f t="shared" si="0"/>
        <v>6</v>
      </c>
      <c r="Q13" s="4">
        <f t="shared" si="1"/>
        <v>0</v>
      </c>
      <c r="R13" s="3"/>
      <c r="S13" s="3"/>
      <c r="T13" s="3"/>
      <c r="U13" s="3"/>
      <c r="V13" s="3"/>
      <c r="W13" s="3" t="s">
        <v>46</v>
      </c>
      <c r="X13" s="3"/>
    </row>
    <row r="14" spans="1:24" ht="57.6" x14ac:dyDescent="0.3">
      <c r="A14" s="6">
        <v>46314</v>
      </c>
      <c r="B14" s="3" t="s">
        <v>60</v>
      </c>
      <c r="C14" s="3" t="s">
        <v>44</v>
      </c>
      <c r="D14" s="3" t="s">
        <v>62</v>
      </c>
      <c r="E14" s="3" t="s">
        <v>46</v>
      </c>
      <c r="F14" s="3" t="s">
        <v>46</v>
      </c>
      <c r="G14" s="3" t="s">
        <v>46</v>
      </c>
      <c r="H14" s="3" t="s">
        <v>46</v>
      </c>
      <c r="I14" s="3">
        <v>8</v>
      </c>
      <c r="J14" s="3" t="s">
        <v>63</v>
      </c>
      <c r="K14" s="3" t="s">
        <v>64</v>
      </c>
      <c r="L14" s="3" t="s">
        <v>65</v>
      </c>
      <c r="M14" s="3" t="s">
        <v>66</v>
      </c>
      <c r="N14" s="3" t="s">
        <v>46</v>
      </c>
      <c r="O14" s="3" t="s">
        <v>46</v>
      </c>
      <c r="P14" s="3">
        <f t="shared" si="0"/>
        <v>8</v>
      </c>
      <c r="Q14" s="4">
        <f t="shared" si="1"/>
        <v>0</v>
      </c>
      <c r="R14" s="3"/>
      <c r="S14" s="3"/>
      <c r="T14" s="3"/>
      <c r="U14" s="3"/>
      <c r="V14" s="3"/>
      <c r="W14" s="3" t="s">
        <v>46</v>
      </c>
      <c r="X14" s="3"/>
    </row>
    <row r="15" spans="1:24" ht="57.6" x14ac:dyDescent="0.3">
      <c r="A15" s="6">
        <v>46315</v>
      </c>
      <c r="B15" s="3" t="s">
        <v>61</v>
      </c>
      <c r="C15" s="3" t="s">
        <v>44</v>
      </c>
      <c r="D15" s="3" t="s">
        <v>62</v>
      </c>
      <c r="E15" s="3" t="s">
        <v>46</v>
      </c>
      <c r="F15" s="3" t="s">
        <v>46</v>
      </c>
      <c r="G15" s="3" t="s">
        <v>46</v>
      </c>
      <c r="H15" s="3" t="s">
        <v>46</v>
      </c>
      <c r="I15" s="3">
        <v>8</v>
      </c>
      <c r="J15" s="3" t="s">
        <v>63</v>
      </c>
      <c r="K15" s="3" t="s">
        <v>64</v>
      </c>
      <c r="L15" s="3" t="s">
        <v>65</v>
      </c>
      <c r="M15" s="3" t="s">
        <v>66</v>
      </c>
      <c r="N15" s="3" t="s">
        <v>46</v>
      </c>
      <c r="O15" s="3" t="s">
        <v>46</v>
      </c>
      <c r="P15" s="3">
        <f t="shared" si="0"/>
        <v>8</v>
      </c>
      <c r="Q15" s="4">
        <f t="shared" si="1"/>
        <v>0</v>
      </c>
      <c r="R15" s="3"/>
      <c r="S15" s="3"/>
      <c r="T15" s="3"/>
      <c r="U15" s="3"/>
      <c r="V15" s="3"/>
      <c r="W15" s="3" t="s">
        <v>46</v>
      </c>
      <c r="X15" s="3"/>
    </row>
    <row r="16" spans="1:24" ht="57.6" x14ac:dyDescent="0.3">
      <c r="A16" s="6">
        <v>46316</v>
      </c>
      <c r="B16" s="3" t="s">
        <v>43</v>
      </c>
      <c r="C16" s="3" t="s">
        <v>44</v>
      </c>
      <c r="D16" s="3" t="s">
        <v>62</v>
      </c>
      <c r="E16" s="3" t="s">
        <v>46</v>
      </c>
      <c r="F16" s="3" t="s">
        <v>46</v>
      </c>
      <c r="G16" s="3" t="s">
        <v>46</v>
      </c>
      <c r="H16" s="3" t="s">
        <v>46</v>
      </c>
      <c r="I16" s="3">
        <v>8</v>
      </c>
      <c r="J16" s="3" t="s">
        <v>63</v>
      </c>
      <c r="K16" s="3" t="s">
        <v>64</v>
      </c>
      <c r="L16" s="3" t="s">
        <v>65</v>
      </c>
      <c r="M16" s="3" t="s">
        <v>66</v>
      </c>
      <c r="N16" s="3" t="s">
        <v>46</v>
      </c>
      <c r="O16" s="3" t="s">
        <v>46</v>
      </c>
      <c r="P16" s="3">
        <f t="shared" si="0"/>
        <v>8</v>
      </c>
      <c r="Q16" s="4">
        <f t="shared" si="1"/>
        <v>0</v>
      </c>
      <c r="R16" s="3"/>
      <c r="S16" s="3"/>
      <c r="T16" s="3"/>
      <c r="U16" s="3"/>
      <c r="V16" s="3"/>
      <c r="W16" s="3" t="s">
        <v>46</v>
      </c>
      <c r="X16" s="3"/>
    </row>
    <row r="17" spans="1:24" ht="57.6" x14ac:dyDescent="0.3">
      <c r="A17" s="6">
        <v>46317</v>
      </c>
      <c r="B17" s="3" t="s">
        <v>51</v>
      </c>
      <c r="C17" s="3" t="s">
        <v>44</v>
      </c>
      <c r="D17" s="3" t="s">
        <v>62</v>
      </c>
      <c r="E17" s="3" t="s">
        <v>46</v>
      </c>
      <c r="F17" s="3" t="s">
        <v>46</v>
      </c>
      <c r="G17" s="3" t="s">
        <v>46</v>
      </c>
      <c r="H17" s="3" t="s">
        <v>46</v>
      </c>
      <c r="I17" s="3">
        <v>8</v>
      </c>
      <c r="J17" s="3" t="s">
        <v>63</v>
      </c>
      <c r="K17" s="3" t="s">
        <v>64</v>
      </c>
      <c r="L17" s="3" t="s">
        <v>65</v>
      </c>
      <c r="M17" s="3" t="s">
        <v>66</v>
      </c>
      <c r="N17" s="3" t="s">
        <v>46</v>
      </c>
      <c r="O17" s="3" t="s">
        <v>46</v>
      </c>
      <c r="P17" s="3">
        <f t="shared" si="0"/>
        <v>8</v>
      </c>
      <c r="Q17" s="4">
        <f t="shared" si="1"/>
        <v>0</v>
      </c>
      <c r="R17" s="3"/>
      <c r="S17" s="3"/>
      <c r="T17" s="3"/>
      <c r="U17" s="3"/>
      <c r="V17" s="3"/>
      <c r="W17" s="3" t="s">
        <v>46</v>
      </c>
      <c r="X17" s="3"/>
    </row>
    <row r="18" spans="1:24" ht="57.6" x14ac:dyDescent="0.3">
      <c r="A18" s="6">
        <v>46318</v>
      </c>
      <c r="B18" s="3" t="s">
        <v>52</v>
      </c>
      <c r="C18" s="3" t="s">
        <v>44</v>
      </c>
      <c r="D18" s="3" t="s">
        <v>62</v>
      </c>
      <c r="E18" s="3" t="s">
        <v>46</v>
      </c>
      <c r="F18" s="3" t="s">
        <v>46</v>
      </c>
      <c r="G18" s="3" t="s">
        <v>46</v>
      </c>
      <c r="H18" s="3" t="s">
        <v>46</v>
      </c>
      <c r="I18" s="3">
        <v>8</v>
      </c>
      <c r="J18" s="3" t="s">
        <v>63</v>
      </c>
      <c r="K18" s="3" t="s">
        <v>64</v>
      </c>
      <c r="L18" s="3" t="s">
        <v>65</v>
      </c>
      <c r="M18" s="3" t="s">
        <v>66</v>
      </c>
      <c r="N18" s="3" t="s">
        <v>46</v>
      </c>
      <c r="O18" s="3" t="s">
        <v>46</v>
      </c>
      <c r="P18" s="3">
        <f t="shared" si="0"/>
        <v>8</v>
      </c>
      <c r="Q18" s="4">
        <f t="shared" si="1"/>
        <v>0</v>
      </c>
      <c r="R18" s="3"/>
      <c r="S18" s="3"/>
      <c r="T18" s="3"/>
      <c r="U18" s="3"/>
      <c r="V18" s="3"/>
      <c r="W18" s="3" t="s">
        <v>46</v>
      </c>
      <c r="X18" s="3"/>
    </row>
    <row r="19" spans="1:24" ht="57.6" x14ac:dyDescent="0.3">
      <c r="A19" s="6">
        <v>46319</v>
      </c>
      <c r="B19" s="3" t="s">
        <v>53</v>
      </c>
      <c r="C19" s="3" t="s">
        <v>44</v>
      </c>
      <c r="D19" s="3" t="s">
        <v>62</v>
      </c>
      <c r="E19" s="3" t="s">
        <v>46</v>
      </c>
      <c r="F19" s="3" t="s">
        <v>46</v>
      </c>
      <c r="G19" s="3" t="s">
        <v>46</v>
      </c>
      <c r="H19" s="3" t="s">
        <v>46</v>
      </c>
      <c r="I19" s="3">
        <v>8</v>
      </c>
      <c r="J19" s="3" t="s">
        <v>63</v>
      </c>
      <c r="K19" s="3" t="s">
        <v>64</v>
      </c>
      <c r="L19" s="3" t="s">
        <v>65</v>
      </c>
      <c r="M19" s="3" t="s">
        <v>66</v>
      </c>
      <c r="N19" s="3" t="s">
        <v>46</v>
      </c>
      <c r="O19" s="3" t="s">
        <v>46</v>
      </c>
      <c r="P19" s="3">
        <f t="shared" si="0"/>
        <v>8</v>
      </c>
      <c r="Q19" s="4">
        <f t="shared" si="1"/>
        <v>0</v>
      </c>
      <c r="R19" s="3"/>
      <c r="S19" s="3"/>
      <c r="T19" s="3"/>
      <c r="U19" s="3"/>
      <c r="V19" s="3"/>
      <c r="W19" s="3" t="s">
        <v>46</v>
      </c>
      <c r="X19" s="3"/>
    </row>
    <row r="20" spans="1:24" ht="57.6" x14ac:dyDescent="0.3">
      <c r="A20" s="6">
        <v>46320</v>
      </c>
      <c r="B20" s="3" t="s">
        <v>54</v>
      </c>
      <c r="C20" s="3" t="s">
        <v>44</v>
      </c>
      <c r="D20" s="3" t="s">
        <v>62</v>
      </c>
      <c r="E20" s="3" t="s">
        <v>46</v>
      </c>
      <c r="F20" s="3" t="s">
        <v>46</v>
      </c>
      <c r="G20" s="3" t="s">
        <v>46</v>
      </c>
      <c r="H20" s="3" t="s">
        <v>46</v>
      </c>
      <c r="I20" s="3">
        <v>6</v>
      </c>
      <c r="J20" s="3" t="s">
        <v>63</v>
      </c>
      <c r="K20" s="3" t="s">
        <v>64</v>
      </c>
      <c r="L20" s="3" t="s">
        <v>65</v>
      </c>
      <c r="M20" s="3" t="s">
        <v>66</v>
      </c>
      <c r="N20" s="3" t="s">
        <v>46</v>
      </c>
      <c r="O20" s="3" t="s">
        <v>46</v>
      </c>
      <c r="P20" s="3">
        <f t="shared" si="0"/>
        <v>6</v>
      </c>
      <c r="Q20" s="4">
        <f t="shared" si="1"/>
        <v>0</v>
      </c>
      <c r="R20" s="3"/>
      <c r="S20" s="3"/>
      <c r="T20" s="3"/>
      <c r="U20" s="3"/>
      <c r="V20" s="3"/>
      <c r="W20" s="3" t="s">
        <v>46</v>
      </c>
      <c r="X20" s="3"/>
    </row>
    <row r="21" spans="1:24" ht="57.6" x14ac:dyDescent="0.3">
      <c r="A21" s="6">
        <v>46321</v>
      </c>
      <c r="B21" s="3" t="s">
        <v>60</v>
      </c>
      <c r="C21" s="3" t="s">
        <v>44</v>
      </c>
      <c r="D21" s="3" t="s">
        <v>67</v>
      </c>
      <c r="E21" s="3" t="s">
        <v>46</v>
      </c>
      <c r="F21" s="3" t="s">
        <v>46</v>
      </c>
      <c r="G21" s="3" t="s">
        <v>46</v>
      </c>
      <c r="H21" s="3" t="s">
        <v>46</v>
      </c>
      <c r="I21" s="3">
        <v>8</v>
      </c>
      <c r="J21" s="3" t="s">
        <v>68</v>
      </c>
      <c r="K21" s="3" t="s">
        <v>69</v>
      </c>
      <c r="L21" s="3" t="s">
        <v>70</v>
      </c>
      <c r="M21" s="3" t="s">
        <v>71</v>
      </c>
      <c r="N21" s="3" t="s">
        <v>46</v>
      </c>
      <c r="O21" s="3" t="s">
        <v>46</v>
      </c>
      <c r="P21" s="3">
        <f t="shared" si="0"/>
        <v>8</v>
      </c>
      <c r="Q21" s="4">
        <f t="shared" si="1"/>
        <v>0</v>
      </c>
      <c r="R21" s="3"/>
      <c r="S21" s="3"/>
      <c r="T21" s="3"/>
      <c r="U21" s="3"/>
      <c r="V21" s="3"/>
      <c r="W21" s="3" t="s">
        <v>46</v>
      </c>
      <c r="X21" s="3"/>
    </row>
    <row r="22" spans="1:24" ht="57.6" x14ac:dyDescent="0.3">
      <c r="A22" s="6">
        <v>46322</v>
      </c>
      <c r="B22" s="3" t="s">
        <v>61</v>
      </c>
      <c r="C22" s="3" t="s">
        <v>44</v>
      </c>
      <c r="D22" s="3" t="s">
        <v>67</v>
      </c>
      <c r="E22" s="3" t="s">
        <v>46</v>
      </c>
      <c r="F22" s="3" t="s">
        <v>46</v>
      </c>
      <c r="G22" s="3" t="s">
        <v>46</v>
      </c>
      <c r="H22" s="3" t="s">
        <v>46</v>
      </c>
      <c r="I22" s="3">
        <v>8</v>
      </c>
      <c r="J22" s="3" t="s">
        <v>68</v>
      </c>
      <c r="K22" s="3" t="s">
        <v>69</v>
      </c>
      <c r="L22" s="3" t="s">
        <v>70</v>
      </c>
      <c r="M22" s="3" t="s">
        <v>71</v>
      </c>
      <c r="N22" s="3" t="s">
        <v>46</v>
      </c>
      <c r="O22" s="3" t="s">
        <v>46</v>
      </c>
      <c r="P22" s="3">
        <f t="shared" si="0"/>
        <v>8</v>
      </c>
      <c r="Q22" s="4">
        <f t="shared" si="1"/>
        <v>0</v>
      </c>
      <c r="R22" s="3"/>
      <c r="S22" s="3"/>
      <c r="T22" s="3"/>
      <c r="U22" s="3"/>
      <c r="V22" s="3"/>
      <c r="W22" s="3" t="s">
        <v>46</v>
      </c>
      <c r="X22" s="3"/>
    </row>
    <row r="23" spans="1:24" ht="57.6" x14ac:dyDescent="0.3">
      <c r="A23" s="6">
        <v>46323</v>
      </c>
      <c r="B23" s="3" t="s">
        <v>43</v>
      </c>
      <c r="C23" s="3" t="s">
        <v>44</v>
      </c>
      <c r="D23" s="3" t="s">
        <v>67</v>
      </c>
      <c r="E23" s="3" t="s">
        <v>46</v>
      </c>
      <c r="F23" s="3" t="s">
        <v>46</v>
      </c>
      <c r="G23" s="3" t="s">
        <v>46</v>
      </c>
      <c r="H23" s="3" t="s">
        <v>46</v>
      </c>
      <c r="I23" s="3">
        <v>8</v>
      </c>
      <c r="J23" s="3" t="s">
        <v>68</v>
      </c>
      <c r="K23" s="3" t="s">
        <v>69</v>
      </c>
      <c r="L23" s="3" t="s">
        <v>70</v>
      </c>
      <c r="M23" s="3" t="s">
        <v>71</v>
      </c>
      <c r="N23" s="3" t="s">
        <v>46</v>
      </c>
      <c r="O23" s="3" t="s">
        <v>46</v>
      </c>
      <c r="P23" s="3">
        <f t="shared" si="0"/>
        <v>8</v>
      </c>
      <c r="Q23" s="4">
        <f t="shared" si="1"/>
        <v>0</v>
      </c>
      <c r="R23" s="3"/>
      <c r="S23" s="3"/>
      <c r="T23" s="3"/>
      <c r="U23" s="3"/>
      <c r="V23" s="3"/>
      <c r="W23" s="3" t="s">
        <v>46</v>
      </c>
      <c r="X23" s="3"/>
    </row>
    <row r="24" spans="1:24" ht="57.6" x14ac:dyDescent="0.3">
      <c r="A24" s="6">
        <v>46324</v>
      </c>
      <c r="B24" s="3" t="s">
        <v>51</v>
      </c>
      <c r="C24" s="3" t="s">
        <v>44</v>
      </c>
      <c r="D24" s="3" t="s">
        <v>67</v>
      </c>
      <c r="E24" s="3" t="s">
        <v>46</v>
      </c>
      <c r="F24" s="3" t="s">
        <v>46</v>
      </c>
      <c r="G24" s="3" t="s">
        <v>46</v>
      </c>
      <c r="H24" s="3" t="s">
        <v>46</v>
      </c>
      <c r="I24" s="3">
        <v>8</v>
      </c>
      <c r="J24" s="3" t="s">
        <v>68</v>
      </c>
      <c r="K24" s="3" t="s">
        <v>69</v>
      </c>
      <c r="L24" s="3" t="s">
        <v>70</v>
      </c>
      <c r="M24" s="3" t="s">
        <v>71</v>
      </c>
      <c r="N24" s="3" t="s">
        <v>46</v>
      </c>
      <c r="O24" s="3" t="s">
        <v>46</v>
      </c>
      <c r="P24" s="3">
        <f t="shared" si="0"/>
        <v>8</v>
      </c>
      <c r="Q24" s="4">
        <f t="shared" si="1"/>
        <v>0</v>
      </c>
      <c r="R24" s="3"/>
      <c r="S24" s="3"/>
      <c r="T24" s="3"/>
      <c r="U24" s="3"/>
      <c r="V24" s="3"/>
      <c r="W24" s="3" t="s">
        <v>46</v>
      </c>
      <c r="X24" s="3"/>
    </row>
    <row r="25" spans="1:24" ht="57.6" x14ac:dyDescent="0.3">
      <c r="A25" s="6">
        <v>46325</v>
      </c>
      <c r="B25" s="3" t="s">
        <v>52</v>
      </c>
      <c r="C25" s="3" t="s">
        <v>44</v>
      </c>
      <c r="D25" s="3" t="s">
        <v>67</v>
      </c>
      <c r="E25" s="3" t="s">
        <v>46</v>
      </c>
      <c r="F25" s="3" t="s">
        <v>46</v>
      </c>
      <c r="G25" s="3" t="s">
        <v>46</v>
      </c>
      <c r="H25" s="3" t="s">
        <v>46</v>
      </c>
      <c r="I25" s="3">
        <v>8</v>
      </c>
      <c r="J25" s="3" t="s">
        <v>68</v>
      </c>
      <c r="K25" s="3" t="s">
        <v>69</v>
      </c>
      <c r="L25" s="3" t="s">
        <v>70</v>
      </c>
      <c r="M25" s="3" t="s">
        <v>71</v>
      </c>
      <c r="N25" s="3" t="s">
        <v>46</v>
      </c>
      <c r="O25" s="3" t="s">
        <v>46</v>
      </c>
      <c r="P25" s="3">
        <f t="shared" si="0"/>
        <v>8</v>
      </c>
      <c r="Q25" s="4">
        <f t="shared" si="1"/>
        <v>0</v>
      </c>
      <c r="R25" s="3"/>
      <c r="S25" s="3"/>
      <c r="T25" s="3"/>
      <c r="U25" s="3"/>
      <c r="V25" s="3"/>
      <c r="W25" s="3" t="s">
        <v>46</v>
      </c>
      <c r="X25" s="3"/>
    </row>
    <row r="26" spans="1:24" ht="57.6" x14ac:dyDescent="0.3">
      <c r="A26" s="6">
        <v>46326</v>
      </c>
      <c r="B26" s="3" t="s">
        <v>53</v>
      </c>
      <c r="C26" s="3" t="s">
        <v>44</v>
      </c>
      <c r="D26" s="3" t="s">
        <v>67</v>
      </c>
      <c r="E26" s="3" t="s">
        <v>46</v>
      </c>
      <c r="F26" s="3" t="s">
        <v>46</v>
      </c>
      <c r="G26" s="3" t="s">
        <v>46</v>
      </c>
      <c r="H26" s="3" t="s">
        <v>46</v>
      </c>
      <c r="I26" s="3">
        <v>8</v>
      </c>
      <c r="J26" s="3" t="s">
        <v>68</v>
      </c>
      <c r="K26" s="3" t="s">
        <v>69</v>
      </c>
      <c r="L26" s="3" t="s">
        <v>70</v>
      </c>
      <c r="M26" s="3" t="s">
        <v>71</v>
      </c>
      <c r="N26" s="3" t="s">
        <v>46</v>
      </c>
      <c r="O26" s="3" t="s">
        <v>46</v>
      </c>
      <c r="P26" s="3">
        <f t="shared" si="0"/>
        <v>8</v>
      </c>
      <c r="Q26" s="4">
        <f t="shared" si="1"/>
        <v>0</v>
      </c>
      <c r="R26" s="3"/>
      <c r="S26" s="3"/>
      <c r="T26" s="3"/>
      <c r="U26" s="3"/>
      <c r="V26" s="3"/>
      <c r="W26" s="3" t="s">
        <v>46</v>
      </c>
      <c r="X26" s="3"/>
    </row>
    <row r="27" spans="1:24" ht="43.2" x14ac:dyDescent="0.3">
      <c r="A27" s="6">
        <v>46327</v>
      </c>
      <c r="B27" s="3" t="s">
        <v>54</v>
      </c>
      <c r="C27" s="3" t="s">
        <v>72</v>
      </c>
      <c r="D27" s="3" t="s">
        <v>73</v>
      </c>
      <c r="E27" s="3" t="s">
        <v>46</v>
      </c>
      <c r="F27" s="3" t="s">
        <v>46</v>
      </c>
      <c r="G27" s="3" t="s">
        <v>46</v>
      </c>
      <c r="H27" s="3" t="s">
        <v>46</v>
      </c>
      <c r="I27" s="3">
        <v>6</v>
      </c>
      <c r="J27" s="3" t="s">
        <v>74</v>
      </c>
      <c r="K27" s="3" t="s">
        <v>75</v>
      </c>
      <c r="L27" s="3" t="s">
        <v>76</v>
      </c>
      <c r="M27" s="3" t="s">
        <v>77</v>
      </c>
      <c r="N27" s="3" t="s">
        <v>78</v>
      </c>
      <c r="O27" s="3" t="s">
        <v>46</v>
      </c>
      <c r="P27" s="3">
        <f t="shared" si="0"/>
        <v>6</v>
      </c>
      <c r="Q27" s="4">
        <f t="shared" si="1"/>
        <v>0</v>
      </c>
      <c r="R27" s="3"/>
      <c r="S27" s="3"/>
      <c r="T27" s="3"/>
      <c r="U27" s="3"/>
      <c r="V27" s="3"/>
      <c r="W27" s="3" t="s">
        <v>46</v>
      </c>
      <c r="X27" s="3"/>
    </row>
    <row r="28" spans="1:24" ht="43.2" x14ac:dyDescent="0.3">
      <c r="A28" s="6">
        <v>46328</v>
      </c>
      <c r="B28" s="3" t="s">
        <v>60</v>
      </c>
      <c r="C28" s="3" t="s">
        <v>72</v>
      </c>
      <c r="D28" s="3" t="s">
        <v>73</v>
      </c>
      <c r="E28" s="3" t="s">
        <v>46</v>
      </c>
      <c r="F28" s="3" t="s">
        <v>46</v>
      </c>
      <c r="G28" s="3" t="s">
        <v>46</v>
      </c>
      <c r="H28" s="3" t="s">
        <v>46</v>
      </c>
      <c r="I28" s="3">
        <v>8</v>
      </c>
      <c r="J28" s="3" t="s">
        <v>74</v>
      </c>
      <c r="K28" s="3" t="s">
        <v>75</v>
      </c>
      <c r="L28" s="3" t="s">
        <v>76</v>
      </c>
      <c r="M28" s="3" t="s">
        <v>77</v>
      </c>
      <c r="N28" s="3" t="s">
        <v>78</v>
      </c>
      <c r="O28" s="3" t="s">
        <v>46</v>
      </c>
      <c r="P28" s="3">
        <f t="shared" si="0"/>
        <v>8</v>
      </c>
      <c r="Q28" s="4">
        <f t="shared" si="1"/>
        <v>0</v>
      </c>
      <c r="R28" s="3"/>
      <c r="S28" s="3"/>
      <c r="T28" s="3"/>
      <c r="U28" s="3"/>
      <c r="V28" s="3"/>
      <c r="W28" s="3" t="s">
        <v>46</v>
      </c>
      <c r="X28" s="3"/>
    </row>
    <row r="29" spans="1:24" ht="43.2" x14ac:dyDescent="0.3">
      <c r="A29" s="6">
        <v>46329</v>
      </c>
      <c r="B29" s="3" t="s">
        <v>61</v>
      </c>
      <c r="C29" s="3" t="s">
        <v>72</v>
      </c>
      <c r="D29" s="3" t="s">
        <v>73</v>
      </c>
      <c r="E29" s="3" t="s">
        <v>46</v>
      </c>
      <c r="F29" s="3" t="s">
        <v>46</v>
      </c>
      <c r="G29" s="3" t="s">
        <v>46</v>
      </c>
      <c r="H29" s="3" t="s">
        <v>46</v>
      </c>
      <c r="I29" s="3">
        <v>8</v>
      </c>
      <c r="J29" s="3" t="s">
        <v>74</v>
      </c>
      <c r="K29" s="3" t="s">
        <v>75</v>
      </c>
      <c r="L29" s="3" t="s">
        <v>76</v>
      </c>
      <c r="M29" s="3" t="s">
        <v>77</v>
      </c>
      <c r="N29" s="3" t="s">
        <v>78</v>
      </c>
      <c r="O29" s="3" t="s">
        <v>46</v>
      </c>
      <c r="P29" s="3">
        <f t="shared" si="0"/>
        <v>8</v>
      </c>
      <c r="Q29" s="4">
        <f t="shared" si="1"/>
        <v>0</v>
      </c>
      <c r="R29" s="3"/>
      <c r="S29" s="3"/>
      <c r="T29" s="3"/>
      <c r="U29" s="3"/>
      <c r="V29" s="3"/>
      <c r="W29" s="3" t="s">
        <v>46</v>
      </c>
      <c r="X29" s="3"/>
    </row>
    <row r="30" spans="1:24" ht="43.2" x14ac:dyDescent="0.3">
      <c r="A30" s="6">
        <v>46330</v>
      </c>
      <c r="B30" s="3" t="s">
        <v>43</v>
      </c>
      <c r="C30" s="3" t="s">
        <v>72</v>
      </c>
      <c r="D30" s="3" t="s">
        <v>73</v>
      </c>
      <c r="E30" s="3" t="s">
        <v>46</v>
      </c>
      <c r="F30" s="3" t="s">
        <v>46</v>
      </c>
      <c r="G30" s="3" t="s">
        <v>46</v>
      </c>
      <c r="H30" s="3" t="s">
        <v>46</v>
      </c>
      <c r="I30" s="3">
        <v>8</v>
      </c>
      <c r="J30" s="3" t="s">
        <v>74</v>
      </c>
      <c r="K30" s="3" t="s">
        <v>75</v>
      </c>
      <c r="L30" s="3" t="s">
        <v>76</v>
      </c>
      <c r="M30" s="3" t="s">
        <v>77</v>
      </c>
      <c r="N30" s="3" t="s">
        <v>78</v>
      </c>
      <c r="O30" s="3" t="s">
        <v>46</v>
      </c>
      <c r="P30" s="3">
        <f t="shared" si="0"/>
        <v>8</v>
      </c>
      <c r="Q30" s="4">
        <f t="shared" si="1"/>
        <v>0</v>
      </c>
      <c r="R30" s="3"/>
      <c r="S30" s="3"/>
      <c r="T30" s="3"/>
      <c r="U30" s="3"/>
      <c r="V30" s="3"/>
      <c r="W30" s="3" t="s">
        <v>46</v>
      </c>
      <c r="X30" s="3"/>
    </row>
    <row r="31" spans="1:24" ht="43.2" x14ac:dyDescent="0.3">
      <c r="A31" s="6">
        <v>46331</v>
      </c>
      <c r="B31" s="3" t="s">
        <v>51</v>
      </c>
      <c r="C31" s="3" t="s">
        <v>72</v>
      </c>
      <c r="D31" s="3" t="s">
        <v>73</v>
      </c>
      <c r="E31" s="3" t="s">
        <v>46</v>
      </c>
      <c r="F31" s="3" t="s">
        <v>46</v>
      </c>
      <c r="G31" s="3" t="s">
        <v>46</v>
      </c>
      <c r="H31" s="3" t="s">
        <v>46</v>
      </c>
      <c r="I31" s="3">
        <v>8</v>
      </c>
      <c r="J31" s="3" t="s">
        <v>74</v>
      </c>
      <c r="K31" s="3" t="s">
        <v>75</v>
      </c>
      <c r="L31" s="3" t="s">
        <v>76</v>
      </c>
      <c r="M31" s="3" t="s">
        <v>77</v>
      </c>
      <c r="N31" s="3" t="s">
        <v>78</v>
      </c>
      <c r="O31" s="3" t="s">
        <v>46</v>
      </c>
      <c r="P31" s="3">
        <f t="shared" si="0"/>
        <v>8</v>
      </c>
      <c r="Q31" s="4">
        <f t="shared" si="1"/>
        <v>0</v>
      </c>
      <c r="R31" s="3"/>
      <c r="S31" s="3"/>
      <c r="T31" s="3"/>
      <c r="U31" s="3"/>
      <c r="V31" s="3"/>
      <c r="W31" s="3" t="s">
        <v>46</v>
      </c>
      <c r="X31" s="3"/>
    </row>
    <row r="32" spans="1:24" ht="43.2" x14ac:dyDescent="0.3">
      <c r="A32" s="6">
        <v>46332</v>
      </c>
      <c r="B32" s="3" t="s">
        <v>52</v>
      </c>
      <c r="C32" s="3" t="s">
        <v>72</v>
      </c>
      <c r="D32" s="3" t="s">
        <v>73</v>
      </c>
      <c r="E32" s="3" t="s">
        <v>46</v>
      </c>
      <c r="F32" s="3" t="s">
        <v>46</v>
      </c>
      <c r="G32" s="3" t="s">
        <v>46</v>
      </c>
      <c r="H32" s="3" t="s">
        <v>46</v>
      </c>
      <c r="I32" s="3">
        <v>8</v>
      </c>
      <c r="J32" s="3" t="s">
        <v>74</v>
      </c>
      <c r="K32" s="3" t="s">
        <v>75</v>
      </c>
      <c r="L32" s="3" t="s">
        <v>76</v>
      </c>
      <c r="M32" s="3" t="s">
        <v>77</v>
      </c>
      <c r="N32" s="3" t="s">
        <v>78</v>
      </c>
      <c r="O32" s="3" t="s">
        <v>46</v>
      </c>
      <c r="P32" s="3">
        <f t="shared" si="0"/>
        <v>8</v>
      </c>
      <c r="Q32" s="4">
        <f t="shared" si="1"/>
        <v>0</v>
      </c>
      <c r="R32" s="3"/>
      <c r="S32" s="3"/>
      <c r="T32" s="3"/>
      <c r="U32" s="3"/>
      <c r="V32" s="3"/>
      <c r="W32" s="3" t="s">
        <v>46</v>
      </c>
      <c r="X32" s="3"/>
    </row>
    <row r="33" spans="1:24" ht="43.2" x14ac:dyDescent="0.3">
      <c r="A33" s="6">
        <v>46333</v>
      </c>
      <c r="B33" s="3" t="s">
        <v>53</v>
      </c>
      <c r="C33" s="3" t="s">
        <v>72</v>
      </c>
      <c r="D33" s="3" t="s">
        <v>73</v>
      </c>
      <c r="E33" s="3" t="s">
        <v>46</v>
      </c>
      <c r="F33" s="3" t="s">
        <v>46</v>
      </c>
      <c r="G33" s="3" t="s">
        <v>46</v>
      </c>
      <c r="H33" s="3" t="s">
        <v>46</v>
      </c>
      <c r="I33" s="3">
        <v>8</v>
      </c>
      <c r="J33" s="3" t="s">
        <v>74</v>
      </c>
      <c r="K33" s="3" t="s">
        <v>75</v>
      </c>
      <c r="L33" s="3" t="s">
        <v>76</v>
      </c>
      <c r="M33" s="3" t="s">
        <v>77</v>
      </c>
      <c r="N33" s="3" t="s">
        <v>78</v>
      </c>
      <c r="O33" s="3" t="s">
        <v>46</v>
      </c>
      <c r="P33" s="3">
        <f t="shared" si="0"/>
        <v>8</v>
      </c>
      <c r="Q33" s="4">
        <f t="shared" si="1"/>
        <v>0</v>
      </c>
      <c r="R33" s="3"/>
      <c r="S33" s="3"/>
      <c r="T33" s="3"/>
      <c r="U33" s="3"/>
      <c r="V33" s="3"/>
      <c r="W33" s="3" t="s">
        <v>46</v>
      </c>
      <c r="X33" s="3"/>
    </row>
    <row r="34" spans="1:24" ht="43.2" x14ac:dyDescent="0.3">
      <c r="A34" s="6">
        <v>46334</v>
      </c>
      <c r="B34" s="3" t="s">
        <v>54</v>
      </c>
      <c r="C34" s="3" t="s">
        <v>72</v>
      </c>
      <c r="D34" s="3" t="s">
        <v>79</v>
      </c>
      <c r="E34" s="3" t="s">
        <v>46</v>
      </c>
      <c r="F34" s="3" t="s">
        <v>46</v>
      </c>
      <c r="G34" s="3" t="s">
        <v>46</v>
      </c>
      <c r="H34" s="3" t="s">
        <v>46</v>
      </c>
      <c r="I34" s="3">
        <v>6</v>
      </c>
      <c r="J34" s="3" t="s">
        <v>80</v>
      </c>
      <c r="K34" s="3" t="s">
        <v>81</v>
      </c>
      <c r="L34" s="3" t="s">
        <v>82</v>
      </c>
      <c r="M34" s="3" t="s">
        <v>83</v>
      </c>
      <c r="N34" s="3" t="s">
        <v>78</v>
      </c>
      <c r="O34" s="3" t="s">
        <v>46</v>
      </c>
      <c r="P34" s="3">
        <f t="shared" ref="P34:P65" si="2">IF(COUNTA(E34:O34)=0,0,SUM(IF(E34="Completed",1,0),IF(F34="Completed",1,0),IF(G34="Completed",1,0),IF(H34="Completed",1,0),IF(O34="Completed",0.5,0),I34))</f>
        <v>6</v>
      </c>
      <c r="Q34" s="4">
        <f t="shared" ref="Q34:Q65" si="3">MIN(1,COUNTIF(E34:O34,"Completed")/8)</f>
        <v>0</v>
      </c>
      <c r="R34" s="3"/>
      <c r="S34" s="3"/>
      <c r="T34" s="3"/>
      <c r="U34" s="3"/>
      <c r="V34" s="3"/>
      <c r="W34" s="3" t="s">
        <v>46</v>
      </c>
      <c r="X34" s="3"/>
    </row>
    <row r="35" spans="1:24" ht="43.2" x14ac:dyDescent="0.3">
      <c r="A35" s="6">
        <v>46335</v>
      </c>
      <c r="B35" s="3" t="s">
        <v>60</v>
      </c>
      <c r="C35" s="3" t="s">
        <v>72</v>
      </c>
      <c r="D35" s="3" t="s">
        <v>79</v>
      </c>
      <c r="E35" s="3" t="s">
        <v>46</v>
      </c>
      <c r="F35" s="3" t="s">
        <v>46</v>
      </c>
      <c r="G35" s="3" t="s">
        <v>46</v>
      </c>
      <c r="H35" s="3" t="s">
        <v>46</v>
      </c>
      <c r="I35" s="3">
        <v>8</v>
      </c>
      <c r="J35" s="3" t="s">
        <v>80</v>
      </c>
      <c r="K35" s="3" t="s">
        <v>81</v>
      </c>
      <c r="L35" s="3" t="s">
        <v>82</v>
      </c>
      <c r="M35" s="3" t="s">
        <v>83</v>
      </c>
      <c r="N35" s="3" t="s">
        <v>78</v>
      </c>
      <c r="O35" s="3" t="s">
        <v>46</v>
      </c>
      <c r="P35" s="3">
        <f t="shared" si="2"/>
        <v>8</v>
      </c>
      <c r="Q35" s="4">
        <f t="shared" si="3"/>
        <v>0</v>
      </c>
      <c r="R35" s="3"/>
      <c r="S35" s="3"/>
      <c r="T35" s="3"/>
      <c r="U35" s="3"/>
      <c r="V35" s="3"/>
      <c r="W35" s="3" t="s">
        <v>46</v>
      </c>
      <c r="X35" s="3"/>
    </row>
    <row r="36" spans="1:24" ht="43.2" x14ac:dyDescent="0.3">
      <c r="A36" s="6">
        <v>46336</v>
      </c>
      <c r="B36" s="3" t="s">
        <v>61</v>
      </c>
      <c r="C36" s="3" t="s">
        <v>72</v>
      </c>
      <c r="D36" s="3" t="s">
        <v>79</v>
      </c>
      <c r="E36" s="3" t="s">
        <v>46</v>
      </c>
      <c r="F36" s="3" t="s">
        <v>46</v>
      </c>
      <c r="G36" s="3" t="s">
        <v>46</v>
      </c>
      <c r="H36" s="3" t="s">
        <v>46</v>
      </c>
      <c r="I36" s="3">
        <v>8</v>
      </c>
      <c r="J36" s="3" t="s">
        <v>80</v>
      </c>
      <c r="K36" s="3" t="s">
        <v>81</v>
      </c>
      <c r="L36" s="3" t="s">
        <v>82</v>
      </c>
      <c r="M36" s="3" t="s">
        <v>83</v>
      </c>
      <c r="N36" s="3" t="s">
        <v>78</v>
      </c>
      <c r="O36" s="3" t="s">
        <v>46</v>
      </c>
      <c r="P36" s="3">
        <f t="shared" si="2"/>
        <v>8</v>
      </c>
      <c r="Q36" s="4">
        <f t="shared" si="3"/>
        <v>0</v>
      </c>
      <c r="R36" s="3"/>
      <c r="S36" s="3"/>
      <c r="T36" s="3"/>
      <c r="U36" s="3"/>
      <c r="V36" s="3"/>
      <c r="W36" s="3" t="s">
        <v>46</v>
      </c>
      <c r="X36" s="3"/>
    </row>
    <row r="37" spans="1:24" ht="43.2" x14ac:dyDescent="0.3">
      <c r="A37" s="6">
        <v>46337</v>
      </c>
      <c r="B37" s="3" t="s">
        <v>43</v>
      </c>
      <c r="C37" s="3" t="s">
        <v>72</v>
      </c>
      <c r="D37" s="3" t="s">
        <v>79</v>
      </c>
      <c r="E37" s="3" t="s">
        <v>46</v>
      </c>
      <c r="F37" s="3" t="s">
        <v>46</v>
      </c>
      <c r="G37" s="3" t="s">
        <v>46</v>
      </c>
      <c r="H37" s="3" t="s">
        <v>46</v>
      </c>
      <c r="I37" s="3">
        <v>8</v>
      </c>
      <c r="J37" s="3" t="s">
        <v>80</v>
      </c>
      <c r="K37" s="3" t="s">
        <v>81</v>
      </c>
      <c r="L37" s="3" t="s">
        <v>82</v>
      </c>
      <c r="M37" s="3" t="s">
        <v>83</v>
      </c>
      <c r="N37" s="3" t="s">
        <v>78</v>
      </c>
      <c r="O37" s="3" t="s">
        <v>46</v>
      </c>
      <c r="P37" s="3">
        <f t="shared" si="2"/>
        <v>8</v>
      </c>
      <c r="Q37" s="4">
        <f t="shared" si="3"/>
        <v>0</v>
      </c>
      <c r="R37" s="3"/>
      <c r="S37" s="3"/>
      <c r="T37" s="3"/>
      <c r="U37" s="3"/>
      <c r="V37" s="3"/>
      <c r="W37" s="3" t="s">
        <v>46</v>
      </c>
      <c r="X37" s="3"/>
    </row>
    <row r="38" spans="1:24" ht="43.2" x14ac:dyDescent="0.3">
      <c r="A38" s="6">
        <v>46338</v>
      </c>
      <c r="B38" s="3" t="s">
        <v>51</v>
      </c>
      <c r="C38" s="3" t="s">
        <v>72</v>
      </c>
      <c r="D38" s="3" t="s">
        <v>79</v>
      </c>
      <c r="E38" s="3" t="s">
        <v>46</v>
      </c>
      <c r="F38" s="3" t="s">
        <v>46</v>
      </c>
      <c r="G38" s="3" t="s">
        <v>46</v>
      </c>
      <c r="H38" s="3" t="s">
        <v>46</v>
      </c>
      <c r="I38" s="3">
        <v>8</v>
      </c>
      <c r="J38" s="3" t="s">
        <v>80</v>
      </c>
      <c r="K38" s="3" t="s">
        <v>81</v>
      </c>
      <c r="L38" s="3" t="s">
        <v>82</v>
      </c>
      <c r="M38" s="3" t="s">
        <v>83</v>
      </c>
      <c r="N38" s="3" t="s">
        <v>78</v>
      </c>
      <c r="O38" s="3" t="s">
        <v>46</v>
      </c>
      <c r="P38" s="3">
        <f t="shared" si="2"/>
        <v>8</v>
      </c>
      <c r="Q38" s="4">
        <f t="shared" si="3"/>
        <v>0</v>
      </c>
      <c r="R38" s="3"/>
      <c r="S38" s="3"/>
      <c r="T38" s="3"/>
      <c r="U38" s="3"/>
      <c r="V38" s="3"/>
      <c r="W38" s="3" t="s">
        <v>46</v>
      </c>
      <c r="X38" s="3"/>
    </row>
    <row r="39" spans="1:24" ht="43.2" x14ac:dyDescent="0.3">
      <c r="A39" s="6">
        <v>46339</v>
      </c>
      <c r="B39" s="3" t="s">
        <v>52</v>
      </c>
      <c r="C39" s="3" t="s">
        <v>72</v>
      </c>
      <c r="D39" s="3" t="s">
        <v>79</v>
      </c>
      <c r="E39" s="3" t="s">
        <v>46</v>
      </c>
      <c r="F39" s="3" t="s">
        <v>46</v>
      </c>
      <c r="G39" s="3" t="s">
        <v>46</v>
      </c>
      <c r="H39" s="3" t="s">
        <v>46</v>
      </c>
      <c r="I39" s="3">
        <v>8</v>
      </c>
      <c r="J39" s="3" t="s">
        <v>80</v>
      </c>
      <c r="K39" s="3" t="s">
        <v>81</v>
      </c>
      <c r="L39" s="3" t="s">
        <v>82</v>
      </c>
      <c r="M39" s="3" t="s">
        <v>83</v>
      </c>
      <c r="N39" s="3" t="s">
        <v>78</v>
      </c>
      <c r="O39" s="3" t="s">
        <v>46</v>
      </c>
      <c r="P39" s="3">
        <f t="shared" si="2"/>
        <v>8</v>
      </c>
      <c r="Q39" s="4">
        <f t="shared" si="3"/>
        <v>0</v>
      </c>
      <c r="R39" s="3"/>
      <c r="S39" s="3"/>
      <c r="T39" s="3"/>
      <c r="U39" s="3"/>
      <c r="V39" s="3"/>
      <c r="W39" s="3" t="s">
        <v>46</v>
      </c>
      <c r="X39" s="3"/>
    </row>
    <row r="40" spans="1:24" ht="43.2" x14ac:dyDescent="0.3">
      <c r="A40" s="6">
        <v>46340</v>
      </c>
      <c r="B40" s="3" t="s">
        <v>53</v>
      </c>
      <c r="C40" s="3" t="s">
        <v>72</v>
      </c>
      <c r="D40" s="3" t="s">
        <v>79</v>
      </c>
      <c r="E40" s="3" t="s">
        <v>46</v>
      </c>
      <c r="F40" s="3" t="s">
        <v>46</v>
      </c>
      <c r="G40" s="3" t="s">
        <v>46</v>
      </c>
      <c r="H40" s="3" t="s">
        <v>46</v>
      </c>
      <c r="I40" s="3">
        <v>8</v>
      </c>
      <c r="J40" s="3" t="s">
        <v>80</v>
      </c>
      <c r="K40" s="3" t="s">
        <v>81</v>
      </c>
      <c r="L40" s="3" t="s">
        <v>82</v>
      </c>
      <c r="M40" s="3" t="s">
        <v>83</v>
      </c>
      <c r="N40" s="3" t="s">
        <v>78</v>
      </c>
      <c r="O40" s="3" t="s">
        <v>46</v>
      </c>
      <c r="P40" s="3">
        <f t="shared" si="2"/>
        <v>8</v>
      </c>
      <c r="Q40" s="4">
        <f t="shared" si="3"/>
        <v>0</v>
      </c>
      <c r="R40" s="3"/>
      <c r="S40" s="3"/>
      <c r="T40" s="3"/>
      <c r="U40" s="3"/>
      <c r="V40" s="3"/>
      <c r="W40" s="3" t="s">
        <v>46</v>
      </c>
      <c r="X40" s="3"/>
    </row>
    <row r="41" spans="1:24" ht="43.2" x14ac:dyDescent="0.3">
      <c r="A41" s="6">
        <v>46341</v>
      </c>
      <c r="B41" s="3" t="s">
        <v>54</v>
      </c>
      <c r="C41" s="3" t="s">
        <v>72</v>
      </c>
      <c r="D41" s="3" t="s">
        <v>79</v>
      </c>
      <c r="E41" s="3" t="s">
        <v>46</v>
      </c>
      <c r="F41" s="3" t="s">
        <v>46</v>
      </c>
      <c r="G41" s="3" t="s">
        <v>46</v>
      </c>
      <c r="H41" s="3" t="s">
        <v>46</v>
      </c>
      <c r="I41" s="3">
        <v>6</v>
      </c>
      <c r="J41" s="3" t="s">
        <v>80</v>
      </c>
      <c r="K41" s="3" t="s">
        <v>81</v>
      </c>
      <c r="L41" s="3" t="s">
        <v>82</v>
      </c>
      <c r="M41" s="3" t="s">
        <v>83</v>
      </c>
      <c r="N41" s="3" t="s">
        <v>78</v>
      </c>
      <c r="O41" s="3" t="s">
        <v>46</v>
      </c>
      <c r="P41" s="3">
        <f t="shared" si="2"/>
        <v>6</v>
      </c>
      <c r="Q41" s="4">
        <f t="shared" si="3"/>
        <v>0</v>
      </c>
      <c r="R41" s="3"/>
      <c r="S41" s="3"/>
      <c r="T41" s="3"/>
      <c r="U41" s="3"/>
      <c r="V41" s="3"/>
      <c r="W41" s="3" t="s">
        <v>46</v>
      </c>
      <c r="X41" s="3"/>
    </row>
    <row r="42" spans="1:24" ht="43.2" x14ac:dyDescent="0.3">
      <c r="A42" s="6">
        <v>46342</v>
      </c>
      <c r="B42" s="3" t="s">
        <v>60</v>
      </c>
      <c r="C42" s="3" t="s">
        <v>72</v>
      </c>
      <c r="D42" s="3" t="s">
        <v>84</v>
      </c>
      <c r="E42" s="3" t="s">
        <v>46</v>
      </c>
      <c r="F42" s="3" t="s">
        <v>46</v>
      </c>
      <c r="G42" s="3" t="s">
        <v>46</v>
      </c>
      <c r="H42" s="3" t="s">
        <v>46</v>
      </c>
      <c r="I42" s="3">
        <v>8</v>
      </c>
      <c r="J42" s="3" t="s">
        <v>85</v>
      </c>
      <c r="K42" s="3" t="s">
        <v>86</v>
      </c>
      <c r="L42" s="3" t="s">
        <v>87</v>
      </c>
      <c r="M42" s="3" t="s">
        <v>88</v>
      </c>
      <c r="N42" s="3" t="s">
        <v>78</v>
      </c>
      <c r="O42" s="3" t="s">
        <v>46</v>
      </c>
      <c r="P42" s="3">
        <f t="shared" si="2"/>
        <v>8</v>
      </c>
      <c r="Q42" s="4">
        <f t="shared" si="3"/>
        <v>0</v>
      </c>
      <c r="R42" s="3"/>
      <c r="S42" s="3"/>
      <c r="T42" s="3"/>
      <c r="U42" s="3"/>
      <c r="V42" s="3"/>
      <c r="W42" s="3" t="s">
        <v>46</v>
      </c>
      <c r="X42" s="3"/>
    </row>
    <row r="43" spans="1:24" ht="43.2" x14ac:dyDescent="0.3">
      <c r="A43" s="6">
        <v>46343</v>
      </c>
      <c r="B43" s="3" t="s">
        <v>61</v>
      </c>
      <c r="C43" s="3" t="s">
        <v>72</v>
      </c>
      <c r="D43" s="3" t="s">
        <v>84</v>
      </c>
      <c r="E43" s="3" t="s">
        <v>46</v>
      </c>
      <c r="F43" s="3" t="s">
        <v>46</v>
      </c>
      <c r="G43" s="3" t="s">
        <v>46</v>
      </c>
      <c r="H43" s="3" t="s">
        <v>46</v>
      </c>
      <c r="I43" s="3">
        <v>8</v>
      </c>
      <c r="J43" s="3" t="s">
        <v>85</v>
      </c>
      <c r="K43" s="3" t="s">
        <v>86</v>
      </c>
      <c r="L43" s="3" t="s">
        <v>87</v>
      </c>
      <c r="M43" s="3" t="s">
        <v>88</v>
      </c>
      <c r="N43" s="3" t="s">
        <v>78</v>
      </c>
      <c r="O43" s="3" t="s">
        <v>46</v>
      </c>
      <c r="P43" s="3">
        <f t="shared" si="2"/>
        <v>8</v>
      </c>
      <c r="Q43" s="4">
        <f t="shared" si="3"/>
        <v>0</v>
      </c>
      <c r="R43" s="3"/>
      <c r="S43" s="3"/>
      <c r="T43" s="3"/>
      <c r="U43" s="3"/>
      <c r="V43" s="3"/>
      <c r="W43" s="3" t="s">
        <v>46</v>
      </c>
      <c r="X43" s="3"/>
    </row>
    <row r="44" spans="1:24" ht="43.2" x14ac:dyDescent="0.3">
      <c r="A44" s="6">
        <v>46344</v>
      </c>
      <c r="B44" s="3" t="s">
        <v>43</v>
      </c>
      <c r="C44" s="3" t="s">
        <v>72</v>
      </c>
      <c r="D44" s="3" t="s">
        <v>84</v>
      </c>
      <c r="E44" s="3" t="s">
        <v>46</v>
      </c>
      <c r="F44" s="3" t="s">
        <v>46</v>
      </c>
      <c r="G44" s="3" t="s">
        <v>46</v>
      </c>
      <c r="H44" s="3" t="s">
        <v>46</v>
      </c>
      <c r="I44" s="3">
        <v>8</v>
      </c>
      <c r="J44" s="3" t="s">
        <v>85</v>
      </c>
      <c r="K44" s="3" t="s">
        <v>86</v>
      </c>
      <c r="L44" s="3" t="s">
        <v>87</v>
      </c>
      <c r="M44" s="3" t="s">
        <v>88</v>
      </c>
      <c r="N44" s="3" t="s">
        <v>78</v>
      </c>
      <c r="O44" s="3" t="s">
        <v>46</v>
      </c>
      <c r="P44" s="3">
        <f t="shared" si="2"/>
        <v>8</v>
      </c>
      <c r="Q44" s="4">
        <f t="shared" si="3"/>
        <v>0</v>
      </c>
      <c r="R44" s="3"/>
      <c r="S44" s="3"/>
      <c r="T44" s="3"/>
      <c r="U44" s="3"/>
      <c r="V44" s="3"/>
      <c r="W44" s="3" t="s">
        <v>46</v>
      </c>
      <c r="X44" s="3"/>
    </row>
    <row r="45" spans="1:24" ht="43.2" x14ac:dyDescent="0.3">
      <c r="A45" s="6">
        <v>46345</v>
      </c>
      <c r="B45" s="3" t="s">
        <v>51</v>
      </c>
      <c r="C45" s="3" t="s">
        <v>72</v>
      </c>
      <c r="D45" s="3" t="s">
        <v>84</v>
      </c>
      <c r="E45" s="3" t="s">
        <v>46</v>
      </c>
      <c r="F45" s="3" t="s">
        <v>46</v>
      </c>
      <c r="G45" s="3" t="s">
        <v>46</v>
      </c>
      <c r="H45" s="3" t="s">
        <v>46</v>
      </c>
      <c r="I45" s="3">
        <v>8</v>
      </c>
      <c r="J45" s="3" t="s">
        <v>85</v>
      </c>
      <c r="K45" s="3" t="s">
        <v>86</v>
      </c>
      <c r="L45" s="3" t="s">
        <v>87</v>
      </c>
      <c r="M45" s="3" t="s">
        <v>88</v>
      </c>
      <c r="N45" s="3" t="s">
        <v>78</v>
      </c>
      <c r="O45" s="3" t="s">
        <v>46</v>
      </c>
      <c r="P45" s="3">
        <f t="shared" si="2"/>
        <v>8</v>
      </c>
      <c r="Q45" s="4">
        <f t="shared" si="3"/>
        <v>0</v>
      </c>
      <c r="R45" s="3"/>
      <c r="S45" s="3"/>
      <c r="T45" s="3"/>
      <c r="U45" s="3"/>
      <c r="V45" s="3"/>
      <c r="W45" s="3" t="s">
        <v>46</v>
      </c>
      <c r="X45" s="3"/>
    </row>
    <row r="46" spans="1:24" ht="43.2" x14ac:dyDescent="0.3">
      <c r="A46" s="6">
        <v>46346</v>
      </c>
      <c r="B46" s="3" t="s">
        <v>52</v>
      </c>
      <c r="C46" s="3" t="s">
        <v>72</v>
      </c>
      <c r="D46" s="3" t="s">
        <v>84</v>
      </c>
      <c r="E46" s="3" t="s">
        <v>46</v>
      </c>
      <c r="F46" s="3" t="s">
        <v>46</v>
      </c>
      <c r="G46" s="3" t="s">
        <v>46</v>
      </c>
      <c r="H46" s="3" t="s">
        <v>46</v>
      </c>
      <c r="I46" s="3">
        <v>8</v>
      </c>
      <c r="J46" s="3" t="s">
        <v>85</v>
      </c>
      <c r="K46" s="3" t="s">
        <v>86</v>
      </c>
      <c r="L46" s="3" t="s">
        <v>87</v>
      </c>
      <c r="M46" s="3" t="s">
        <v>88</v>
      </c>
      <c r="N46" s="3" t="s">
        <v>78</v>
      </c>
      <c r="O46" s="3" t="s">
        <v>46</v>
      </c>
      <c r="P46" s="3">
        <f t="shared" si="2"/>
        <v>8</v>
      </c>
      <c r="Q46" s="4">
        <f t="shared" si="3"/>
        <v>0</v>
      </c>
      <c r="R46" s="3"/>
      <c r="S46" s="3"/>
      <c r="T46" s="3"/>
      <c r="U46" s="3"/>
      <c r="V46" s="3"/>
      <c r="W46" s="3" t="s">
        <v>46</v>
      </c>
      <c r="X46" s="3"/>
    </row>
    <row r="47" spans="1:24" ht="43.2" x14ac:dyDescent="0.3">
      <c r="A47" s="6">
        <v>46347</v>
      </c>
      <c r="B47" s="3" t="s">
        <v>53</v>
      </c>
      <c r="C47" s="3" t="s">
        <v>72</v>
      </c>
      <c r="D47" s="3" t="s">
        <v>84</v>
      </c>
      <c r="E47" s="3" t="s">
        <v>46</v>
      </c>
      <c r="F47" s="3" t="s">
        <v>46</v>
      </c>
      <c r="G47" s="3" t="s">
        <v>46</v>
      </c>
      <c r="H47" s="3" t="s">
        <v>46</v>
      </c>
      <c r="I47" s="3">
        <v>8</v>
      </c>
      <c r="J47" s="3" t="s">
        <v>85</v>
      </c>
      <c r="K47" s="3" t="s">
        <v>86</v>
      </c>
      <c r="L47" s="3" t="s">
        <v>87</v>
      </c>
      <c r="M47" s="3" t="s">
        <v>88</v>
      </c>
      <c r="N47" s="3" t="s">
        <v>78</v>
      </c>
      <c r="O47" s="3" t="s">
        <v>46</v>
      </c>
      <c r="P47" s="3">
        <f t="shared" si="2"/>
        <v>8</v>
      </c>
      <c r="Q47" s="4">
        <f t="shared" si="3"/>
        <v>0</v>
      </c>
      <c r="R47" s="3"/>
      <c r="S47" s="3"/>
      <c r="T47" s="3"/>
      <c r="U47" s="3"/>
      <c r="V47" s="3"/>
      <c r="W47" s="3" t="s">
        <v>46</v>
      </c>
      <c r="X47" s="3"/>
    </row>
    <row r="48" spans="1:24" ht="43.2" x14ac:dyDescent="0.3">
      <c r="A48" s="6">
        <v>46348</v>
      </c>
      <c r="B48" s="3" t="s">
        <v>54</v>
      </c>
      <c r="C48" s="3" t="s">
        <v>72</v>
      </c>
      <c r="D48" s="3" t="s">
        <v>84</v>
      </c>
      <c r="E48" s="3" t="s">
        <v>46</v>
      </c>
      <c r="F48" s="3" t="s">
        <v>46</v>
      </c>
      <c r="G48" s="3" t="s">
        <v>46</v>
      </c>
      <c r="H48" s="3" t="s">
        <v>46</v>
      </c>
      <c r="I48" s="3">
        <v>6</v>
      </c>
      <c r="J48" s="3" t="s">
        <v>85</v>
      </c>
      <c r="K48" s="3" t="s">
        <v>86</v>
      </c>
      <c r="L48" s="3" t="s">
        <v>87</v>
      </c>
      <c r="M48" s="3" t="s">
        <v>88</v>
      </c>
      <c r="N48" s="3" t="s">
        <v>78</v>
      </c>
      <c r="O48" s="3" t="s">
        <v>46</v>
      </c>
      <c r="P48" s="3">
        <f t="shared" si="2"/>
        <v>6</v>
      </c>
      <c r="Q48" s="4">
        <f t="shared" si="3"/>
        <v>0</v>
      </c>
      <c r="R48" s="3"/>
      <c r="S48" s="3"/>
      <c r="T48" s="3"/>
      <c r="U48" s="3"/>
      <c r="V48" s="3"/>
      <c r="W48" s="3" t="s">
        <v>46</v>
      </c>
      <c r="X48" s="3"/>
    </row>
    <row r="49" spans="1:24" ht="43.2" x14ac:dyDescent="0.3">
      <c r="A49" s="6">
        <v>46349</v>
      </c>
      <c r="B49" s="3" t="s">
        <v>60</v>
      </c>
      <c r="C49" s="3" t="s">
        <v>72</v>
      </c>
      <c r="D49" s="3" t="s">
        <v>84</v>
      </c>
      <c r="E49" s="3" t="s">
        <v>46</v>
      </c>
      <c r="F49" s="3" t="s">
        <v>46</v>
      </c>
      <c r="G49" s="3" t="s">
        <v>46</v>
      </c>
      <c r="H49" s="3" t="s">
        <v>46</v>
      </c>
      <c r="I49" s="3">
        <v>8</v>
      </c>
      <c r="J49" s="3" t="s">
        <v>85</v>
      </c>
      <c r="K49" s="3" t="s">
        <v>86</v>
      </c>
      <c r="L49" s="3" t="s">
        <v>87</v>
      </c>
      <c r="M49" s="3" t="s">
        <v>88</v>
      </c>
      <c r="N49" s="3" t="s">
        <v>78</v>
      </c>
      <c r="O49" s="3" t="s">
        <v>46</v>
      </c>
      <c r="P49" s="3">
        <f t="shared" si="2"/>
        <v>8</v>
      </c>
      <c r="Q49" s="4">
        <f t="shared" si="3"/>
        <v>0</v>
      </c>
      <c r="R49" s="3"/>
      <c r="S49" s="3"/>
      <c r="T49" s="3"/>
      <c r="U49" s="3"/>
      <c r="V49" s="3"/>
      <c r="W49" s="3" t="s">
        <v>46</v>
      </c>
      <c r="X49" s="3"/>
    </row>
    <row r="50" spans="1:24" ht="43.2" x14ac:dyDescent="0.3">
      <c r="A50" s="6">
        <v>46350</v>
      </c>
      <c r="B50" s="3" t="s">
        <v>61</v>
      </c>
      <c r="C50" s="3" t="s">
        <v>72</v>
      </c>
      <c r="D50" s="3" t="s">
        <v>89</v>
      </c>
      <c r="E50" s="3" t="s">
        <v>46</v>
      </c>
      <c r="F50" s="3" t="s">
        <v>46</v>
      </c>
      <c r="G50" s="3" t="s">
        <v>46</v>
      </c>
      <c r="H50" s="3" t="s">
        <v>46</v>
      </c>
      <c r="I50" s="3">
        <v>8</v>
      </c>
      <c r="J50" s="3" t="s">
        <v>90</v>
      </c>
      <c r="K50" s="3" t="s">
        <v>91</v>
      </c>
      <c r="L50" s="3" t="s">
        <v>92</v>
      </c>
      <c r="M50" s="3" t="s">
        <v>93</v>
      </c>
      <c r="N50" s="3" t="s">
        <v>78</v>
      </c>
      <c r="O50" s="3" t="s">
        <v>46</v>
      </c>
      <c r="P50" s="3">
        <f t="shared" si="2"/>
        <v>8</v>
      </c>
      <c r="Q50" s="4">
        <f t="shared" si="3"/>
        <v>0</v>
      </c>
      <c r="R50" s="3"/>
      <c r="S50" s="3"/>
      <c r="T50" s="3"/>
      <c r="U50" s="3"/>
      <c r="V50" s="3"/>
      <c r="W50" s="3" t="s">
        <v>46</v>
      </c>
      <c r="X50" s="3"/>
    </row>
    <row r="51" spans="1:24" ht="43.2" x14ac:dyDescent="0.3">
      <c r="A51" s="6">
        <v>46351</v>
      </c>
      <c r="B51" s="3" t="s">
        <v>43</v>
      </c>
      <c r="C51" s="3" t="s">
        <v>72</v>
      </c>
      <c r="D51" s="3" t="s">
        <v>89</v>
      </c>
      <c r="E51" s="3" t="s">
        <v>46</v>
      </c>
      <c r="F51" s="3" t="s">
        <v>46</v>
      </c>
      <c r="G51" s="3" t="s">
        <v>46</v>
      </c>
      <c r="H51" s="3" t="s">
        <v>46</v>
      </c>
      <c r="I51" s="3">
        <v>8</v>
      </c>
      <c r="J51" s="3" t="s">
        <v>90</v>
      </c>
      <c r="K51" s="3" t="s">
        <v>91</v>
      </c>
      <c r="L51" s="3" t="s">
        <v>92</v>
      </c>
      <c r="M51" s="3" t="s">
        <v>93</v>
      </c>
      <c r="N51" s="3" t="s">
        <v>78</v>
      </c>
      <c r="O51" s="3" t="s">
        <v>46</v>
      </c>
      <c r="P51" s="3">
        <f t="shared" si="2"/>
        <v>8</v>
      </c>
      <c r="Q51" s="4">
        <f t="shared" si="3"/>
        <v>0</v>
      </c>
      <c r="R51" s="3"/>
      <c r="S51" s="3"/>
      <c r="T51" s="3"/>
      <c r="U51" s="3"/>
      <c r="V51" s="3"/>
      <c r="W51" s="3" t="s">
        <v>46</v>
      </c>
      <c r="X51" s="3"/>
    </row>
    <row r="52" spans="1:24" ht="43.2" x14ac:dyDescent="0.3">
      <c r="A52" s="6">
        <v>46352</v>
      </c>
      <c r="B52" s="3" t="s">
        <v>51</v>
      </c>
      <c r="C52" s="3" t="s">
        <v>72</v>
      </c>
      <c r="D52" s="3" t="s">
        <v>89</v>
      </c>
      <c r="E52" s="3" t="s">
        <v>46</v>
      </c>
      <c r="F52" s="3" t="s">
        <v>46</v>
      </c>
      <c r="G52" s="3" t="s">
        <v>46</v>
      </c>
      <c r="H52" s="3" t="s">
        <v>46</v>
      </c>
      <c r="I52" s="3">
        <v>8</v>
      </c>
      <c r="J52" s="3" t="s">
        <v>90</v>
      </c>
      <c r="K52" s="3" t="s">
        <v>91</v>
      </c>
      <c r="L52" s="3" t="s">
        <v>92</v>
      </c>
      <c r="M52" s="3" t="s">
        <v>93</v>
      </c>
      <c r="N52" s="3" t="s">
        <v>78</v>
      </c>
      <c r="O52" s="3" t="s">
        <v>46</v>
      </c>
      <c r="P52" s="3">
        <f t="shared" si="2"/>
        <v>8</v>
      </c>
      <c r="Q52" s="4">
        <f t="shared" si="3"/>
        <v>0</v>
      </c>
      <c r="R52" s="3"/>
      <c r="S52" s="3"/>
      <c r="T52" s="3"/>
      <c r="U52" s="3"/>
      <c r="V52" s="3"/>
      <c r="W52" s="3" t="s">
        <v>46</v>
      </c>
      <c r="X52" s="3"/>
    </row>
    <row r="53" spans="1:24" ht="43.2" x14ac:dyDescent="0.3">
      <c r="A53" s="6">
        <v>46353</v>
      </c>
      <c r="B53" s="3" t="s">
        <v>52</v>
      </c>
      <c r="C53" s="3" t="s">
        <v>72</v>
      </c>
      <c r="D53" s="3" t="s">
        <v>89</v>
      </c>
      <c r="E53" s="3" t="s">
        <v>46</v>
      </c>
      <c r="F53" s="3" t="s">
        <v>46</v>
      </c>
      <c r="G53" s="3" t="s">
        <v>46</v>
      </c>
      <c r="H53" s="3" t="s">
        <v>46</v>
      </c>
      <c r="I53" s="3">
        <v>8</v>
      </c>
      <c r="J53" s="3" t="s">
        <v>90</v>
      </c>
      <c r="K53" s="3" t="s">
        <v>91</v>
      </c>
      <c r="L53" s="3" t="s">
        <v>92</v>
      </c>
      <c r="M53" s="3" t="s">
        <v>93</v>
      </c>
      <c r="N53" s="3" t="s">
        <v>78</v>
      </c>
      <c r="O53" s="3" t="s">
        <v>46</v>
      </c>
      <c r="P53" s="3">
        <f t="shared" si="2"/>
        <v>8</v>
      </c>
      <c r="Q53" s="4">
        <f t="shared" si="3"/>
        <v>0</v>
      </c>
      <c r="R53" s="3"/>
      <c r="S53" s="3"/>
      <c r="T53" s="3"/>
      <c r="U53" s="3"/>
      <c r="V53" s="3"/>
      <c r="W53" s="3" t="s">
        <v>46</v>
      </c>
      <c r="X53" s="3"/>
    </row>
    <row r="54" spans="1:24" ht="43.2" x14ac:dyDescent="0.3">
      <c r="A54" s="6">
        <v>46354</v>
      </c>
      <c r="B54" s="3" t="s">
        <v>53</v>
      </c>
      <c r="C54" s="3" t="s">
        <v>72</v>
      </c>
      <c r="D54" s="3" t="s">
        <v>89</v>
      </c>
      <c r="E54" s="3" t="s">
        <v>46</v>
      </c>
      <c r="F54" s="3" t="s">
        <v>46</v>
      </c>
      <c r="G54" s="3" t="s">
        <v>46</v>
      </c>
      <c r="H54" s="3" t="s">
        <v>46</v>
      </c>
      <c r="I54" s="3">
        <v>8</v>
      </c>
      <c r="J54" s="3" t="s">
        <v>90</v>
      </c>
      <c r="K54" s="3" t="s">
        <v>91</v>
      </c>
      <c r="L54" s="3" t="s">
        <v>92</v>
      </c>
      <c r="M54" s="3" t="s">
        <v>93</v>
      </c>
      <c r="N54" s="3" t="s">
        <v>78</v>
      </c>
      <c r="O54" s="3" t="s">
        <v>46</v>
      </c>
      <c r="P54" s="3">
        <f t="shared" si="2"/>
        <v>8</v>
      </c>
      <c r="Q54" s="4">
        <f t="shared" si="3"/>
        <v>0</v>
      </c>
      <c r="R54" s="3"/>
      <c r="S54" s="3"/>
      <c r="T54" s="3"/>
      <c r="U54" s="3"/>
      <c r="V54" s="3"/>
      <c r="W54" s="3" t="s">
        <v>46</v>
      </c>
      <c r="X54" s="3"/>
    </row>
    <row r="55" spans="1:24" ht="43.2" x14ac:dyDescent="0.3">
      <c r="A55" s="6">
        <v>46355</v>
      </c>
      <c r="B55" s="3" t="s">
        <v>54</v>
      </c>
      <c r="C55" s="3" t="s">
        <v>72</v>
      </c>
      <c r="D55" s="3" t="s">
        <v>89</v>
      </c>
      <c r="E55" s="3" t="s">
        <v>46</v>
      </c>
      <c r="F55" s="3" t="s">
        <v>46</v>
      </c>
      <c r="G55" s="3" t="s">
        <v>46</v>
      </c>
      <c r="H55" s="3" t="s">
        <v>46</v>
      </c>
      <c r="I55" s="3">
        <v>6</v>
      </c>
      <c r="J55" s="3" t="s">
        <v>90</v>
      </c>
      <c r="K55" s="3" t="s">
        <v>91</v>
      </c>
      <c r="L55" s="3" t="s">
        <v>92</v>
      </c>
      <c r="M55" s="3" t="s">
        <v>93</v>
      </c>
      <c r="N55" s="3" t="s">
        <v>78</v>
      </c>
      <c r="O55" s="3" t="s">
        <v>46</v>
      </c>
      <c r="P55" s="3">
        <f t="shared" si="2"/>
        <v>6</v>
      </c>
      <c r="Q55" s="4">
        <f t="shared" si="3"/>
        <v>0</v>
      </c>
      <c r="R55" s="3"/>
      <c r="S55" s="3"/>
      <c r="T55" s="3"/>
      <c r="U55" s="3"/>
      <c r="V55" s="3"/>
      <c r="W55" s="3" t="s">
        <v>46</v>
      </c>
      <c r="X55" s="3"/>
    </row>
    <row r="56" spans="1:24" ht="43.2" x14ac:dyDescent="0.3">
      <c r="A56" s="6">
        <v>46356</v>
      </c>
      <c r="B56" s="3" t="s">
        <v>60</v>
      </c>
      <c r="C56" s="3" t="s">
        <v>72</v>
      </c>
      <c r="D56" s="3" t="s">
        <v>89</v>
      </c>
      <c r="E56" s="3" t="s">
        <v>46</v>
      </c>
      <c r="F56" s="3" t="s">
        <v>46</v>
      </c>
      <c r="G56" s="3" t="s">
        <v>46</v>
      </c>
      <c r="H56" s="3" t="s">
        <v>46</v>
      </c>
      <c r="I56" s="3">
        <v>8</v>
      </c>
      <c r="J56" s="3" t="s">
        <v>90</v>
      </c>
      <c r="K56" s="3" t="s">
        <v>91</v>
      </c>
      <c r="L56" s="3" t="s">
        <v>92</v>
      </c>
      <c r="M56" s="3" t="s">
        <v>93</v>
      </c>
      <c r="N56" s="3" t="s">
        <v>78</v>
      </c>
      <c r="O56" s="3" t="s">
        <v>46</v>
      </c>
      <c r="P56" s="3">
        <f t="shared" si="2"/>
        <v>8</v>
      </c>
      <c r="Q56" s="4">
        <f t="shared" si="3"/>
        <v>0</v>
      </c>
      <c r="R56" s="3"/>
      <c r="S56" s="3"/>
      <c r="T56" s="3"/>
      <c r="U56" s="3"/>
      <c r="V56" s="3"/>
      <c r="W56" s="3" t="s">
        <v>46</v>
      </c>
      <c r="X56" s="3"/>
    </row>
    <row r="57" spans="1:24" ht="57.6" x14ac:dyDescent="0.3">
      <c r="A57" s="6">
        <v>46357</v>
      </c>
      <c r="B57" s="3" t="s">
        <v>61</v>
      </c>
      <c r="C57" s="3" t="s">
        <v>94</v>
      </c>
      <c r="D57" s="3" t="s">
        <v>95</v>
      </c>
      <c r="E57" s="3" t="s">
        <v>46</v>
      </c>
      <c r="F57" s="3" t="s">
        <v>46</v>
      </c>
      <c r="G57" s="3" t="s">
        <v>46</v>
      </c>
      <c r="H57" s="3" t="s">
        <v>46</v>
      </c>
      <c r="I57" s="3">
        <v>8</v>
      </c>
      <c r="J57" s="3" t="s">
        <v>96</v>
      </c>
      <c r="K57" s="3" t="s">
        <v>97</v>
      </c>
      <c r="L57" s="3" t="s">
        <v>98</v>
      </c>
      <c r="M57" s="3" t="s">
        <v>99</v>
      </c>
      <c r="N57" s="3" t="s">
        <v>78</v>
      </c>
      <c r="O57" s="3" t="s">
        <v>46</v>
      </c>
      <c r="P57" s="3">
        <f t="shared" si="2"/>
        <v>8</v>
      </c>
      <c r="Q57" s="4">
        <f t="shared" si="3"/>
        <v>0</v>
      </c>
      <c r="R57" s="3"/>
      <c r="S57" s="3"/>
      <c r="T57" s="3"/>
      <c r="U57" s="3"/>
      <c r="V57" s="3"/>
      <c r="W57" s="3" t="s">
        <v>46</v>
      </c>
      <c r="X57" s="3"/>
    </row>
    <row r="58" spans="1:24" ht="57.6" x14ac:dyDescent="0.3">
      <c r="A58" s="6">
        <v>46358</v>
      </c>
      <c r="B58" s="3" t="s">
        <v>43</v>
      </c>
      <c r="C58" s="3" t="s">
        <v>94</v>
      </c>
      <c r="D58" s="3" t="s">
        <v>95</v>
      </c>
      <c r="E58" s="3" t="s">
        <v>46</v>
      </c>
      <c r="F58" s="3" t="s">
        <v>46</v>
      </c>
      <c r="G58" s="3" t="s">
        <v>46</v>
      </c>
      <c r="H58" s="3" t="s">
        <v>46</v>
      </c>
      <c r="I58" s="3">
        <v>8</v>
      </c>
      <c r="J58" s="3" t="s">
        <v>96</v>
      </c>
      <c r="K58" s="3" t="s">
        <v>97</v>
      </c>
      <c r="L58" s="3" t="s">
        <v>98</v>
      </c>
      <c r="M58" s="3" t="s">
        <v>99</v>
      </c>
      <c r="N58" s="3" t="s">
        <v>78</v>
      </c>
      <c r="O58" s="3" t="s">
        <v>46</v>
      </c>
      <c r="P58" s="3">
        <f t="shared" si="2"/>
        <v>8</v>
      </c>
      <c r="Q58" s="4">
        <f t="shared" si="3"/>
        <v>0</v>
      </c>
      <c r="R58" s="3"/>
      <c r="S58" s="3"/>
      <c r="T58" s="3"/>
      <c r="U58" s="3"/>
      <c r="V58" s="3"/>
      <c r="W58" s="3" t="s">
        <v>46</v>
      </c>
      <c r="X58" s="3"/>
    </row>
    <row r="59" spans="1:24" ht="57.6" x14ac:dyDescent="0.3">
      <c r="A59" s="6">
        <v>46359</v>
      </c>
      <c r="B59" s="3" t="s">
        <v>51</v>
      </c>
      <c r="C59" s="3" t="s">
        <v>94</v>
      </c>
      <c r="D59" s="3" t="s">
        <v>95</v>
      </c>
      <c r="E59" s="3" t="s">
        <v>46</v>
      </c>
      <c r="F59" s="3" t="s">
        <v>46</v>
      </c>
      <c r="G59" s="3" t="s">
        <v>46</v>
      </c>
      <c r="H59" s="3" t="s">
        <v>46</v>
      </c>
      <c r="I59" s="3">
        <v>8</v>
      </c>
      <c r="J59" s="3" t="s">
        <v>96</v>
      </c>
      <c r="K59" s="3" t="s">
        <v>97</v>
      </c>
      <c r="L59" s="3" t="s">
        <v>98</v>
      </c>
      <c r="M59" s="3" t="s">
        <v>99</v>
      </c>
      <c r="N59" s="3" t="s">
        <v>78</v>
      </c>
      <c r="O59" s="3" t="s">
        <v>46</v>
      </c>
      <c r="P59" s="3">
        <f t="shared" si="2"/>
        <v>8</v>
      </c>
      <c r="Q59" s="4">
        <f t="shared" si="3"/>
        <v>0</v>
      </c>
      <c r="R59" s="3"/>
      <c r="S59" s="3"/>
      <c r="T59" s="3"/>
      <c r="U59" s="3"/>
      <c r="V59" s="3"/>
      <c r="W59" s="3" t="s">
        <v>46</v>
      </c>
      <c r="X59" s="3"/>
    </row>
    <row r="60" spans="1:24" ht="57.6" x14ac:dyDescent="0.3">
      <c r="A60" s="6">
        <v>46360</v>
      </c>
      <c r="B60" s="3" t="s">
        <v>52</v>
      </c>
      <c r="C60" s="3" t="s">
        <v>94</v>
      </c>
      <c r="D60" s="3" t="s">
        <v>95</v>
      </c>
      <c r="E60" s="3" t="s">
        <v>46</v>
      </c>
      <c r="F60" s="3" t="s">
        <v>46</v>
      </c>
      <c r="G60" s="3" t="s">
        <v>46</v>
      </c>
      <c r="H60" s="3" t="s">
        <v>46</v>
      </c>
      <c r="I60" s="3">
        <v>8</v>
      </c>
      <c r="J60" s="3" t="s">
        <v>96</v>
      </c>
      <c r="K60" s="3" t="s">
        <v>97</v>
      </c>
      <c r="L60" s="3" t="s">
        <v>98</v>
      </c>
      <c r="M60" s="3" t="s">
        <v>99</v>
      </c>
      <c r="N60" s="3" t="s">
        <v>78</v>
      </c>
      <c r="O60" s="3" t="s">
        <v>46</v>
      </c>
      <c r="P60" s="3">
        <f t="shared" si="2"/>
        <v>8</v>
      </c>
      <c r="Q60" s="4">
        <f t="shared" si="3"/>
        <v>0</v>
      </c>
      <c r="R60" s="3"/>
      <c r="S60" s="3"/>
      <c r="T60" s="3"/>
      <c r="U60" s="3"/>
      <c r="V60" s="3"/>
      <c r="W60" s="3" t="s">
        <v>46</v>
      </c>
      <c r="X60" s="3"/>
    </row>
    <row r="61" spans="1:24" ht="57.6" x14ac:dyDescent="0.3">
      <c r="A61" s="6">
        <v>46361</v>
      </c>
      <c r="B61" s="3" t="s">
        <v>53</v>
      </c>
      <c r="C61" s="3" t="s">
        <v>94</v>
      </c>
      <c r="D61" s="3" t="s">
        <v>95</v>
      </c>
      <c r="E61" s="3" t="s">
        <v>46</v>
      </c>
      <c r="F61" s="3" t="s">
        <v>46</v>
      </c>
      <c r="G61" s="3" t="s">
        <v>46</v>
      </c>
      <c r="H61" s="3" t="s">
        <v>46</v>
      </c>
      <c r="I61" s="3">
        <v>8</v>
      </c>
      <c r="J61" s="3" t="s">
        <v>96</v>
      </c>
      <c r="K61" s="3" t="s">
        <v>97</v>
      </c>
      <c r="L61" s="3" t="s">
        <v>98</v>
      </c>
      <c r="M61" s="3" t="s">
        <v>99</v>
      </c>
      <c r="N61" s="3" t="s">
        <v>78</v>
      </c>
      <c r="O61" s="3" t="s">
        <v>46</v>
      </c>
      <c r="P61" s="3">
        <f t="shared" si="2"/>
        <v>8</v>
      </c>
      <c r="Q61" s="4">
        <f t="shared" si="3"/>
        <v>0</v>
      </c>
      <c r="R61" s="3"/>
      <c r="S61" s="3"/>
      <c r="T61" s="3"/>
      <c r="U61" s="3"/>
      <c r="V61" s="3"/>
      <c r="W61" s="3" t="s">
        <v>46</v>
      </c>
      <c r="X61" s="3"/>
    </row>
    <row r="62" spans="1:24" ht="57.6" x14ac:dyDescent="0.3">
      <c r="A62" s="6">
        <v>46362</v>
      </c>
      <c r="B62" s="3" t="s">
        <v>54</v>
      </c>
      <c r="C62" s="3" t="s">
        <v>94</v>
      </c>
      <c r="D62" s="3" t="s">
        <v>95</v>
      </c>
      <c r="E62" s="3" t="s">
        <v>46</v>
      </c>
      <c r="F62" s="3" t="s">
        <v>46</v>
      </c>
      <c r="G62" s="3" t="s">
        <v>46</v>
      </c>
      <c r="H62" s="3" t="s">
        <v>46</v>
      </c>
      <c r="I62" s="3">
        <v>6</v>
      </c>
      <c r="J62" s="3" t="s">
        <v>96</v>
      </c>
      <c r="K62" s="3" t="s">
        <v>97</v>
      </c>
      <c r="L62" s="3" t="s">
        <v>98</v>
      </c>
      <c r="M62" s="3" t="s">
        <v>99</v>
      </c>
      <c r="N62" s="3" t="s">
        <v>78</v>
      </c>
      <c r="O62" s="3" t="s">
        <v>46</v>
      </c>
      <c r="P62" s="3">
        <f t="shared" si="2"/>
        <v>6</v>
      </c>
      <c r="Q62" s="4">
        <f t="shared" si="3"/>
        <v>0</v>
      </c>
      <c r="R62" s="3"/>
      <c r="S62" s="3"/>
      <c r="T62" s="3"/>
      <c r="U62" s="3"/>
      <c r="V62" s="3"/>
      <c r="W62" s="3" t="s">
        <v>46</v>
      </c>
      <c r="X62" s="3"/>
    </row>
    <row r="63" spans="1:24" ht="57.6" x14ac:dyDescent="0.3">
      <c r="A63" s="6">
        <v>46363</v>
      </c>
      <c r="B63" s="3" t="s">
        <v>60</v>
      </c>
      <c r="C63" s="3" t="s">
        <v>94</v>
      </c>
      <c r="D63" s="3" t="s">
        <v>95</v>
      </c>
      <c r="E63" s="3" t="s">
        <v>46</v>
      </c>
      <c r="F63" s="3" t="s">
        <v>46</v>
      </c>
      <c r="G63" s="3" t="s">
        <v>46</v>
      </c>
      <c r="H63" s="3" t="s">
        <v>46</v>
      </c>
      <c r="I63" s="3">
        <v>8</v>
      </c>
      <c r="J63" s="3" t="s">
        <v>96</v>
      </c>
      <c r="K63" s="3" t="s">
        <v>97</v>
      </c>
      <c r="L63" s="3" t="s">
        <v>98</v>
      </c>
      <c r="M63" s="3" t="s">
        <v>99</v>
      </c>
      <c r="N63" s="3" t="s">
        <v>78</v>
      </c>
      <c r="O63" s="3" t="s">
        <v>46</v>
      </c>
      <c r="P63" s="3">
        <f t="shared" si="2"/>
        <v>8</v>
      </c>
      <c r="Q63" s="4">
        <f t="shared" si="3"/>
        <v>0</v>
      </c>
      <c r="R63" s="3"/>
      <c r="S63" s="3"/>
      <c r="T63" s="3"/>
      <c r="U63" s="3"/>
      <c r="V63" s="3"/>
      <c r="W63" s="3" t="s">
        <v>46</v>
      </c>
      <c r="X63" s="3"/>
    </row>
    <row r="64" spans="1:24" ht="57.6" x14ac:dyDescent="0.3">
      <c r="A64" s="6">
        <v>46364</v>
      </c>
      <c r="B64" s="3" t="s">
        <v>61</v>
      </c>
      <c r="C64" s="3" t="s">
        <v>94</v>
      </c>
      <c r="D64" s="3" t="s">
        <v>100</v>
      </c>
      <c r="E64" s="3" t="s">
        <v>46</v>
      </c>
      <c r="F64" s="3" t="s">
        <v>46</v>
      </c>
      <c r="G64" s="3" t="s">
        <v>46</v>
      </c>
      <c r="H64" s="3" t="s">
        <v>46</v>
      </c>
      <c r="I64" s="3">
        <v>8</v>
      </c>
      <c r="J64" s="3" t="s">
        <v>101</v>
      </c>
      <c r="K64" s="3" t="s">
        <v>102</v>
      </c>
      <c r="L64" s="3" t="s">
        <v>103</v>
      </c>
      <c r="M64" s="3" t="s">
        <v>104</v>
      </c>
      <c r="N64" s="3" t="s">
        <v>78</v>
      </c>
      <c r="O64" s="3" t="s">
        <v>46</v>
      </c>
      <c r="P64" s="3">
        <f t="shared" si="2"/>
        <v>8</v>
      </c>
      <c r="Q64" s="4">
        <f t="shared" si="3"/>
        <v>0</v>
      </c>
      <c r="R64" s="3"/>
      <c r="S64" s="3"/>
      <c r="T64" s="3"/>
      <c r="U64" s="3"/>
      <c r="V64" s="3"/>
      <c r="W64" s="3" t="s">
        <v>46</v>
      </c>
      <c r="X64" s="3"/>
    </row>
    <row r="65" spans="1:24" ht="57.6" x14ac:dyDescent="0.3">
      <c r="A65" s="6">
        <v>46365</v>
      </c>
      <c r="B65" s="3" t="s">
        <v>43</v>
      </c>
      <c r="C65" s="3" t="s">
        <v>94</v>
      </c>
      <c r="D65" s="3" t="s">
        <v>100</v>
      </c>
      <c r="E65" s="3" t="s">
        <v>46</v>
      </c>
      <c r="F65" s="3" t="s">
        <v>46</v>
      </c>
      <c r="G65" s="3" t="s">
        <v>46</v>
      </c>
      <c r="H65" s="3" t="s">
        <v>46</v>
      </c>
      <c r="I65" s="3">
        <v>8</v>
      </c>
      <c r="J65" s="3" t="s">
        <v>101</v>
      </c>
      <c r="K65" s="3" t="s">
        <v>102</v>
      </c>
      <c r="L65" s="3" t="s">
        <v>103</v>
      </c>
      <c r="M65" s="3" t="s">
        <v>104</v>
      </c>
      <c r="N65" s="3" t="s">
        <v>78</v>
      </c>
      <c r="O65" s="3" t="s">
        <v>46</v>
      </c>
      <c r="P65" s="3">
        <f t="shared" si="2"/>
        <v>8</v>
      </c>
      <c r="Q65" s="4">
        <f t="shared" si="3"/>
        <v>0</v>
      </c>
      <c r="R65" s="3"/>
      <c r="S65" s="3"/>
      <c r="T65" s="3"/>
      <c r="U65" s="3"/>
      <c r="V65" s="3"/>
      <c r="W65" s="3" t="s">
        <v>46</v>
      </c>
      <c r="X65" s="3"/>
    </row>
    <row r="66" spans="1:24" ht="57.6" x14ac:dyDescent="0.3">
      <c r="A66" s="6">
        <v>46366</v>
      </c>
      <c r="B66" s="3" t="s">
        <v>51</v>
      </c>
      <c r="C66" s="3" t="s">
        <v>94</v>
      </c>
      <c r="D66" s="3" t="s">
        <v>100</v>
      </c>
      <c r="E66" s="3" t="s">
        <v>46</v>
      </c>
      <c r="F66" s="3" t="s">
        <v>46</v>
      </c>
      <c r="G66" s="3" t="s">
        <v>46</v>
      </c>
      <c r="H66" s="3" t="s">
        <v>46</v>
      </c>
      <c r="I66" s="3">
        <v>8</v>
      </c>
      <c r="J66" s="3" t="s">
        <v>101</v>
      </c>
      <c r="K66" s="3" t="s">
        <v>102</v>
      </c>
      <c r="L66" s="3" t="s">
        <v>103</v>
      </c>
      <c r="M66" s="3" t="s">
        <v>104</v>
      </c>
      <c r="N66" s="3" t="s">
        <v>78</v>
      </c>
      <c r="O66" s="3" t="s">
        <v>46</v>
      </c>
      <c r="P66" s="3">
        <f t="shared" ref="P66:P87" si="4">IF(COUNTA(E66:O66)=0,0,SUM(IF(E66="Completed",1,0),IF(F66="Completed",1,0),IF(G66="Completed",1,0),IF(H66="Completed",1,0),IF(O66="Completed",0.5,0),I66))</f>
        <v>8</v>
      </c>
      <c r="Q66" s="4">
        <f t="shared" ref="Q66:Q87" si="5">MIN(1,COUNTIF(E66:O66,"Completed")/8)</f>
        <v>0</v>
      </c>
      <c r="R66" s="3"/>
      <c r="S66" s="3"/>
      <c r="T66" s="3"/>
      <c r="U66" s="3"/>
      <c r="V66" s="3"/>
      <c r="W66" s="3" t="s">
        <v>46</v>
      </c>
      <c r="X66" s="3"/>
    </row>
    <row r="67" spans="1:24" ht="57.6" x14ac:dyDescent="0.3">
      <c r="A67" s="6">
        <v>46367</v>
      </c>
      <c r="B67" s="3" t="s">
        <v>52</v>
      </c>
      <c r="C67" s="3" t="s">
        <v>94</v>
      </c>
      <c r="D67" s="3" t="s">
        <v>100</v>
      </c>
      <c r="E67" s="3" t="s">
        <v>46</v>
      </c>
      <c r="F67" s="3" t="s">
        <v>46</v>
      </c>
      <c r="G67" s="3" t="s">
        <v>46</v>
      </c>
      <c r="H67" s="3" t="s">
        <v>46</v>
      </c>
      <c r="I67" s="3">
        <v>8</v>
      </c>
      <c r="J67" s="3" t="s">
        <v>101</v>
      </c>
      <c r="K67" s="3" t="s">
        <v>102</v>
      </c>
      <c r="L67" s="3" t="s">
        <v>103</v>
      </c>
      <c r="M67" s="3" t="s">
        <v>104</v>
      </c>
      <c r="N67" s="3" t="s">
        <v>78</v>
      </c>
      <c r="O67" s="3" t="s">
        <v>46</v>
      </c>
      <c r="P67" s="3">
        <f t="shared" si="4"/>
        <v>8</v>
      </c>
      <c r="Q67" s="4">
        <f t="shared" si="5"/>
        <v>0</v>
      </c>
      <c r="R67" s="3"/>
      <c r="S67" s="3"/>
      <c r="T67" s="3"/>
      <c r="U67" s="3"/>
      <c r="V67" s="3"/>
      <c r="W67" s="3" t="s">
        <v>46</v>
      </c>
      <c r="X67" s="3"/>
    </row>
    <row r="68" spans="1:24" ht="57.6" x14ac:dyDescent="0.3">
      <c r="A68" s="6">
        <v>46368</v>
      </c>
      <c r="B68" s="3" t="s">
        <v>53</v>
      </c>
      <c r="C68" s="3" t="s">
        <v>94</v>
      </c>
      <c r="D68" s="3" t="s">
        <v>100</v>
      </c>
      <c r="E68" s="3" t="s">
        <v>46</v>
      </c>
      <c r="F68" s="3" t="s">
        <v>46</v>
      </c>
      <c r="G68" s="3" t="s">
        <v>46</v>
      </c>
      <c r="H68" s="3" t="s">
        <v>46</v>
      </c>
      <c r="I68" s="3">
        <v>8</v>
      </c>
      <c r="J68" s="3" t="s">
        <v>101</v>
      </c>
      <c r="K68" s="3" t="s">
        <v>102</v>
      </c>
      <c r="L68" s="3" t="s">
        <v>103</v>
      </c>
      <c r="M68" s="3" t="s">
        <v>104</v>
      </c>
      <c r="N68" s="3" t="s">
        <v>78</v>
      </c>
      <c r="O68" s="3" t="s">
        <v>46</v>
      </c>
      <c r="P68" s="3">
        <f t="shared" si="4"/>
        <v>8</v>
      </c>
      <c r="Q68" s="4">
        <f t="shared" si="5"/>
        <v>0</v>
      </c>
      <c r="R68" s="3"/>
      <c r="S68" s="3"/>
      <c r="T68" s="3"/>
      <c r="U68" s="3"/>
      <c r="V68" s="3"/>
      <c r="W68" s="3" t="s">
        <v>46</v>
      </c>
      <c r="X68" s="3"/>
    </row>
    <row r="69" spans="1:24" ht="57.6" x14ac:dyDescent="0.3">
      <c r="A69" s="6">
        <v>46369</v>
      </c>
      <c r="B69" s="3" t="s">
        <v>54</v>
      </c>
      <c r="C69" s="3" t="s">
        <v>94</v>
      </c>
      <c r="D69" s="3" t="s">
        <v>100</v>
      </c>
      <c r="E69" s="3" t="s">
        <v>46</v>
      </c>
      <c r="F69" s="3" t="s">
        <v>46</v>
      </c>
      <c r="G69" s="3" t="s">
        <v>46</v>
      </c>
      <c r="H69" s="3" t="s">
        <v>46</v>
      </c>
      <c r="I69" s="3">
        <v>6</v>
      </c>
      <c r="J69" s="3" t="s">
        <v>101</v>
      </c>
      <c r="K69" s="3" t="s">
        <v>102</v>
      </c>
      <c r="L69" s="3" t="s">
        <v>103</v>
      </c>
      <c r="M69" s="3" t="s">
        <v>104</v>
      </c>
      <c r="N69" s="3" t="s">
        <v>78</v>
      </c>
      <c r="O69" s="3" t="s">
        <v>46</v>
      </c>
      <c r="P69" s="3">
        <f t="shared" si="4"/>
        <v>6</v>
      </c>
      <c r="Q69" s="4">
        <f t="shared" si="5"/>
        <v>0</v>
      </c>
      <c r="R69" s="3"/>
      <c r="S69" s="3"/>
      <c r="T69" s="3"/>
      <c r="U69" s="3"/>
      <c r="V69" s="3"/>
      <c r="W69" s="3" t="s">
        <v>46</v>
      </c>
      <c r="X69" s="3"/>
    </row>
    <row r="70" spans="1:24" ht="57.6" x14ac:dyDescent="0.3">
      <c r="A70" s="6">
        <v>46370</v>
      </c>
      <c r="B70" s="3" t="s">
        <v>60</v>
      </c>
      <c r="C70" s="3" t="s">
        <v>94</v>
      </c>
      <c r="D70" s="3" t="s">
        <v>100</v>
      </c>
      <c r="E70" s="3" t="s">
        <v>46</v>
      </c>
      <c r="F70" s="3" t="s">
        <v>46</v>
      </c>
      <c r="G70" s="3" t="s">
        <v>46</v>
      </c>
      <c r="H70" s="3" t="s">
        <v>46</v>
      </c>
      <c r="I70" s="3">
        <v>8</v>
      </c>
      <c r="J70" s="3" t="s">
        <v>101</v>
      </c>
      <c r="K70" s="3" t="s">
        <v>102</v>
      </c>
      <c r="L70" s="3" t="s">
        <v>103</v>
      </c>
      <c r="M70" s="3" t="s">
        <v>104</v>
      </c>
      <c r="N70" s="3" t="s">
        <v>78</v>
      </c>
      <c r="O70" s="3" t="s">
        <v>46</v>
      </c>
      <c r="P70" s="3">
        <f t="shared" si="4"/>
        <v>8</v>
      </c>
      <c r="Q70" s="4">
        <f t="shared" si="5"/>
        <v>0</v>
      </c>
      <c r="R70" s="3"/>
      <c r="S70" s="3"/>
      <c r="T70" s="3"/>
      <c r="U70" s="3"/>
      <c r="V70" s="3"/>
      <c r="W70" s="3" t="s">
        <v>46</v>
      </c>
      <c r="X70" s="3"/>
    </row>
    <row r="71" spans="1:24" ht="57.6" x14ac:dyDescent="0.3">
      <c r="A71" s="6">
        <v>46371</v>
      </c>
      <c r="B71" s="3" t="s">
        <v>61</v>
      </c>
      <c r="C71" s="3" t="s">
        <v>94</v>
      </c>
      <c r="D71" s="3" t="s">
        <v>100</v>
      </c>
      <c r="E71" s="3" t="s">
        <v>46</v>
      </c>
      <c r="F71" s="3" t="s">
        <v>46</v>
      </c>
      <c r="G71" s="3" t="s">
        <v>46</v>
      </c>
      <c r="H71" s="3" t="s">
        <v>46</v>
      </c>
      <c r="I71" s="3">
        <v>8</v>
      </c>
      <c r="J71" s="3" t="s">
        <v>101</v>
      </c>
      <c r="K71" s="3" t="s">
        <v>102</v>
      </c>
      <c r="L71" s="3" t="s">
        <v>103</v>
      </c>
      <c r="M71" s="3" t="s">
        <v>104</v>
      </c>
      <c r="N71" s="3" t="s">
        <v>78</v>
      </c>
      <c r="O71" s="3" t="s">
        <v>46</v>
      </c>
      <c r="P71" s="3">
        <f t="shared" si="4"/>
        <v>8</v>
      </c>
      <c r="Q71" s="4">
        <f t="shared" si="5"/>
        <v>0</v>
      </c>
      <c r="R71" s="3"/>
      <c r="S71" s="3"/>
      <c r="T71" s="3"/>
      <c r="U71" s="3"/>
      <c r="V71" s="3"/>
      <c r="W71" s="3" t="s">
        <v>46</v>
      </c>
      <c r="X71" s="3"/>
    </row>
    <row r="72" spans="1:24" ht="57.6" x14ac:dyDescent="0.3">
      <c r="A72" s="6">
        <v>46372</v>
      </c>
      <c r="B72" s="3" t="s">
        <v>43</v>
      </c>
      <c r="C72" s="3" t="s">
        <v>94</v>
      </c>
      <c r="D72" s="3" t="s">
        <v>105</v>
      </c>
      <c r="E72" s="3" t="s">
        <v>46</v>
      </c>
      <c r="F72" s="3" t="s">
        <v>46</v>
      </c>
      <c r="G72" s="3" t="s">
        <v>46</v>
      </c>
      <c r="H72" s="3" t="s">
        <v>46</v>
      </c>
      <c r="I72" s="3">
        <v>8</v>
      </c>
      <c r="J72" s="3" t="s">
        <v>106</v>
      </c>
      <c r="K72" s="3" t="s">
        <v>107</v>
      </c>
      <c r="L72" s="3" t="s">
        <v>108</v>
      </c>
      <c r="M72" s="3" t="s">
        <v>109</v>
      </c>
      <c r="N72" s="3" t="s">
        <v>78</v>
      </c>
      <c r="O72" s="3" t="s">
        <v>46</v>
      </c>
      <c r="P72" s="3">
        <f t="shared" si="4"/>
        <v>8</v>
      </c>
      <c r="Q72" s="4">
        <f t="shared" si="5"/>
        <v>0</v>
      </c>
      <c r="R72" s="3"/>
      <c r="S72" s="3"/>
      <c r="T72" s="3"/>
      <c r="U72" s="3"/>
      <c r="V72" s="3"/>
      <c r="W72" s="3" t="s">
        <v>46</v>
      </c>
      <c r="X72" s="3"/>
    </row>
    <row r="73" spans="1:24" ht="57.6" x14ac:dyDescent="0.3">
      <c r="A73" s="6">
        <v>46373</v>
      </c>
      <c r="B73" s="3" t="s">
        <v>51</v>
      </c>
      <c r="C73" s="3" t="s">
        <v>94</v>
      </c>
      <c r="D73" s="3" t="s">
        <v>105</v>
      </c>
      <c r="E73" s="3" t="s">
        <v>46</v>
      </c>
      <c r="F73" s="3" t="s">
        <v>46</v>
      </c>
      <c r="G73" s="3" t="s">
        <v>46</v>
      </c>
      <c r="H73" s="3" t="s">
        <v>46</v>
      </c>
      <c r="I73" s="3">
        <v>8</v>
      </c>
      <c r="J73" s="3" t="s">
        <v>106</v>
      </c>
      <c r="K73" s="3" t="s">
        <v>107</v>
      </c>
      <c r="L73" s="3" t="s">
        <v>108</v>
      </c>
      <c r="M73" s="3" t="s">
        <v>109</v>
      </c>
      <c r="N73" s="3" t="s">
        <v>78</v>
      </c>
      <c r="O73" s="3" t="s">
        <v>46</v>
      </c>
      <c r="P73" s="3">
        <f t="shared" si="4"/>
        <v>8</v>
      </c>
      <c r="Q73" s="4">
        <f t="shared" si="5"/>
        <v>0</v>
      </c>
      <c r="R73" s="3"/>
      <c r="S73" s="3"/>
      <c r="T73" s="3"/>
      <c r="U73" s="3"/>
      <c r="V73" s="3"/>
      <c r="W73" s="3" t="s">
        <v>46</v>
      </c>
      <c r="X73" s="3"/>
    </row>
    <row r="74" spans="1:24" ht="57.6" x14ac:dyDescent="0.3">
      <c r="A74" s="6">
        <v>46374</v>
      </c>
      <c r="B74" s="3" t="s">
        <v>52</v>
      </c>
      <c r="C74" s="3" t="s">
        <v>94</v>
      </c>
      <c r="D74" s="3" t="s">
        <v>105</v>
      </c>
      <c r="E74" s="3" t="s">
        <v>46</v>
      </c>
      <c r="F74" s="3" t="s">
        <v>46</v>
      </c>
      <c r="G74" s="3" t="s">
        <v>46</v>
      </c>
      <c r="H74" s="3" t="s">
        <v>46</v>
      </c>
      <c r="I74" s="3">
        <v>8</v>
      </c>
      <c r="J74" s="3" t="s">
        <v>106</v>
      </c>
      <c r="K74" s="3" t="s">
        <v>107</v>
      </c>
      <c r="L74" s="3" t="s">
        <v>108</v>
      </c>
      <c r="M74" s="3" t="s">
        <v>109</v>
      </c>
      <c r="N74" s="3" t="s">
        <v>78</v>
      </c>
      <c r="O74" s="3" t="s">
        <v>46</v>
      </c>
      <c r="P74" s="3">
        <f t="shared" si="4"/>
        <v>8</v>
      </c>
      <c r="Q74" s="4">
        <f t="shared" si="5"/>
        <v>0</v>
      </c>
      <c r="R74" s="3"/>
      <c r="S74" s="3"/>
      <c r="T74" s="3"/>
      <c r="U74" s="3"/>
      <c r="V74" s="3"/>
      <c r="W74" s="3" t="s">
        <v>46</v>
      </c>
      <c r="X74" s="3"/>
    </row>
    <row r="75" spans="1:24" ht="57.6" x14ac:dyDescent="0.3">
      <c r="A75" s="6">
        <v>46375</v>
      </c>
      <c r="B75" s="3" t="s">
        <v>53</v>
      </c>
      <c r="C75" s="3" t="s">
        <v>94</v>
      </c>
      <c r="D75" s="3" t="s">
        <v>105</v>
      </c>
      <c r="E75" s="3" t="s">
        <v>46</v>
      </c>
      <c r="F75" s="3" t="s">
        <v>46</v>
      </c>
      <c r="G75" s="3" t="s">
        <v>46</v>
      </c>
      <c r="H75" s="3" t="s">
        <v>46</v>
      </c>
      <c r="I75" s="3">
        <v>8</v>
      </c>
      <c r="J75" s="3" t="s">
        <v>106</v>
      </c>
      <c r="K75" s="3" t="s">
        <v>107</v>
      </c>
      <c r="L75" s="3" t="s">
        <v>108</v>
      </c>
      <c r="M75" s="3" t="s">
        <v>109</v>
      </c>
      <c r="N75" s="3" t="s">
        <v>78</v>
      </c>
      <c r="O75" s="3" t="s">
        <v>46</v>
      </c>
      <c r="P75" s="3">
        <f t="shared" si="4"/>
        <v>8</v>
      </c>
      <c r="Q75" s="4">
        <f t="shared" si="5"/>
        <v>0</v>
      </c>
      <c r="R75" s="3"/>
      <c r="S75" s="3"/>
      <c r="T75" s="3"/>
      <c r="U75" s="3"/>
      <c r="V75" s="3"/>
      <c r="W75" s="3" t="s">
        <v>46</v>
      </c>
      <c r="X75" s="3"/>
    </row>
    <row r="76" spans="1:24" ht="57.6" x14ac:dyDescent="0.3">
      <c r="A76" s="6">
        <v>46376</v>
      </c>
      <c r="B76" s="3" t="s">
        <v>54</v>
      </c>
      <c r="C76" s="3" t="s">
        <v>94</v>
      </c>
      <c r="D76" s="3" t="s">
        <v>105</v>
      </c>
      <c r="E76" s="3" t="s">
        <v>46</v>
      </c>
      <c r="F76" s="3" t="s">
        <v>46</v>
      </c>
      <c r="G76" s="3" t="s">
        <v>46</v>
      </c>
      <c r="H76" s="3" t="s">
        <v>46</v>
      </c>
      <c r="I76" s="3">
        <v>6</v>
      </c>
      <c r="J76" s="3" t="s">
        <v>106</v>
      </c>
      <c r="K76" s="3" t="s">
        <v>107</v>
      </c>
      <c r="L76" s="3" t="s">
        <v>108</v>
      </c>
      <c r="M76" s="3" t="s">
        <v>109</v>
      </c>
      <c r="N76" s="3" t="s">
        <v>78</v>
      </c>
      <c r="O76" s="3" t="s">
        <v>46</v>
      </c>
      <c r="P76" s="3">
        <f t="shared" si="4"/>
        <v>6</v>
      </c>
      <c r="Q76" s="4">
        <f t="shared" si="5"/>
        <v>0</v>
      </c>
      <c r="R76" s="3"/>
      <c r="S76" s="3"/>
      <c r="T76" s="3"/>
      <c r="U76" s="3"/>
      <c r="V76" s="3"/>
      <c r="W76" s="3" t="s">
        <v>46</v>
      </c>
      <c r="X76" s="3"/>
    </row>
    <row r="77" spans="1:24" ht="57.6" x14ac:dyDescent="0.3">
      <c r="A77" s="6">
        <v>46377</v>
      </c>
      <c r="B77" s="3" t="s">
        <v>60</v>
      </c>
      <c r="C77" s="3" t="s">
        <v>94</v>
      </c>
      <c r="D77" s="3" t="s">
        <v>105</v>
      </c>
      <c r="E77" s="3" t="s">
        <v>46</v>
      </c>
      <c r="F77" s="3" t="s">
        <v>46</v>
      </c>
      <c r="G77" s="3" t="s">
        <v>46</v>
      </c>
      <c r="H77" s="3" t="s">
        <v>46</v>
      </c>
      <c r="I77" s="3">
        <v>8</v>
      </c>
      <c r="J77" s="3" t="s">
        <v>106</v>
      </c>
      <c r="K77" s="3" t="s">
        <v>107</v>
      </c>
      <c r="L77" s="3" t="s">
        <v>108</v>
      </c>
      <c r="M77" s="3" t="s">
        <v>109</v>
      </c>
      <c r="N77" s="3" t="s">
        <v>78</v>
      </c>
      <c r="O77" s="3" t="s">
        <v>46</v>
      </c>
      <c r="P77" s="3">
        <f t="shared" si="4"/>
        <v>8</v>
      </c>
      <c r="Q77" s="4">
        <f t="shared" si="5"/>
        <v>0</v>
      </c>
      <c r="R77" s="3"/>
      <c r="S77" s="3"/>
      <c r="T77" s="3"/>
      <c r="U77" s="3"/>
      <c r="V77" s="3"/>
      <c r="W77" s="3" t="s">
        <v>46</v>
      </c>
      <c r="X77" s="3"/>
    </row>
    <row r="78" spans="1:24" ht="57.6" x14ac:dyDescent="0.3">
      <c r="A78" s="6">
        <v>46378</v>
      </c>
      <c r="B78" s="3" t="s">
        <v>61</v>
      </c>
      <c r="C78" s="3" t="s">
        <v>94</v>
      </c>
      <c r="D78" s="3" t="s">
        <v>105</v>
      </c>
      <c r="E78" s="3" t="s">
        <v>46</v>
      </c>
      <c r="F78" s="3" t="s">
        <v>46</v>
      </c>
      <c r="G78" s="3" t="s">
        <v>46</v>
      </c>
      <c r="H78" s="3" t="s">
        <v>46</v>
      </c>
      <c r="I78" s="3">
        <v>8</v>
      </c>
      <c r="J78" s="3" t="s">
        <v>106</v>
      </c>
      <c r="K78" s="3" t="s">
        <v>107</v>
      </c>
      <c r="L78" s="3" t="s">
        <v>108</v>
      </c>
      <c r="M78" s="3" t="s">
        <v>109</v>
      </c>
      <c r="N78" s="3" t="s">
        <v>78</v>
      </c>
      <c r="O78" s="3" t="s">
        <v>46</v>
      </c>
      <c r="P78" s="3">
        <f t="shared" si="4"/>
        <v>8</v>
      </c>
      <c r="Q78" s="4">
        <f t="shared" si="5"/>
        <v>0</v>
      </c>
      <c r="R78" s="3"/>
      <c r="S78" s="3"/>
      <c r="T78" s="3"/>
      <c r="U78" s="3"/>
      <c r="V78" s="3"/>
      <c r="W78" s="3" t="s">
        <v>46</v>
      </c>
      <c r="X78" s="3"/>
    </row>
    <row r="79" spans="1:24" ht="57.6" x14ac:dyDescent="0.3">
      <c r="A79" s="6">
        <v>46379</v>
      </c>
      <c r="B79" s="3" t="s">
        <v>43</v>
      </c>
      <c r="C79" s="3" t="s">
        <v>94</v>
      </c>
      <c r="D79" s="3" t="s">
        <v>105</v>
      </c>
      <c r="E79" s="3" t="s">
        <v>46</v>
      </c>
      <c r="F79" s="3" t="s">
        <v>46</v>
      </c>
      <c r="G79" s="3" t="s">
        <v>46</v>
      </c>
      <c r="H79" s="3" t="s">
        <v>46</v>
      </c>
      <c r="I79" s="3">
        <v>8</v>
      </c>
      <c r="J79" s="3" t="s">
        <v>106</v>
      </c>
      <c r="K79" s="3" t="s">
        <v>107</v>
      </c>
      <c r="L79" s="3" t="s">
        <v>108</v>
      </c>
      <c r="M79" s="3" t="s">
        <v>109</v>
      </c>
      <c r="N79" s="3" t="s">
        <v>78</v>
      </c>
      <c r="O79" s="3" t="s">
        <v>46</v>
      </c>
      <c r="P79" s="3">
        <f t="shared" si="4"/>
        <v>8</v>
      </c>
      <c r="Q79" s="4">
        <f t="shared" si="5"/>
        <v>0</v>
      </c>
      <c r="R79" s="3"/>
      <c r="S79" s="3"/>
      <c r="T79" s="3"/>
      <c r="U79" s="3"/>
      <c r="V79" s="3"/>
      <c r="W79" s="3" t="s">
        <v>46</v>
      </c>
      <c r="X79" s="3"/>
    </row>
    <row r="80" spans="1:24" ht="57.6" x14ac:dyDescent="0.3">
      <c r="A80" s="6">
        <v>46380</v>
      </c>
      <c r="B80" s="3" t="s">
        <v>51</v>
      </c>
      <c r="C80" s="3" t="s">
        <v>94</v>
      </c>
      <c r="D80" s="3" t="s">
        <v>110</v>
      </c>
      <c r="E80" s="3" t="s">
        <v>46</v>
      </c>
      <c r="F80" s="3" t="s">
        <v>46</v>
      </c>
      <c r="G80" s="3" t="s">
        <v>46</v>
      </c>
      <c r="H80" s="3" t="s">
        <v>46</v>
      </c>
      <c r="I80" s="3">
        <v>8</v>
      </c>
      <c r="J80" s="3" t="s">
        <v>111</v>
      </c>
      <c r="K80" s="3" t="s">
        <v>112</v>
      </c>
      <c r="L80" s="3" t="s">
        <v>113</v>
      </c>
      <c r="M80" s="3" t="s">
        <v>114</v>
      </c>
      <c r="N80" s="3" t="s">
        <v>78</v>
      </c>
      <c r="O80" s="3" t="s">
        <v>46</v>
      </c>
      <c r="P80" s="3">
        <f t="shared" si="4"/>
        <v>8</v>
      </c>
      <c r="Q80" s="4">
        <f t="shared" si="5"/>
        <v>0</v>
      </c>
      <c r="R80" s="3"/>
      <c r="S80" s="3"/>
      <c r="T80" s="3"/>
      <c r="U80" s="3"/>
      <c r="V80" s="3"/>
      <c r="W80" s="3" t="s">
        <v>46</v>
      </c>
      <c r="X80" s="3"/>
    </row>
    <row r="81" spans="1:24" ht="57.6" x14ac:dyDescent="0.3">
      <c r="A81" s="6">
        <v>46381</v>
      </c>
      <c r="B81" s="3" t="s">
        <v>52</v>
      </c>
      <c r="C81" s="3" t="s">
        <v>94</v>
      </c>
      <c r="D81" s="3" t="s">
        <v>110</v>
      </c>
      <c r="E81" s="3" t="s">
        <v>46</v>
      </c>
      <c r="F81" s="3" t="s">
        <v>46</v>
      </c>
      <c r="G81" s="3" t="s">
        <v>46</v>
      </c>
      <c r="H81" s="3" t="s">
        <v>46</v>
      </c>
      <c r="I81" s="3">
        <v>8</v>
      </c>
      <c r="J81" s="3" t="s">
        <v>111</v>
      </c>
      <c r="K81" s="3" t="s">
        <v>112</v>
      </c>
      <c r="L81" s="3" t="s">
        <v>113</v>
      </c>
      <c r="M81" s="3" t="s">
        <v>114</v>
      </c>
      <c r="N81" s="3" t="s">
        <v>78</v>
      </c>
      <c r="O81" s="3" t="s">
        <v>46</v>
      </c>
      <c r="P81" s="3">
        <f t="shared" si="4"/>
        <v>8</v>
      </c>
      <c r="Q81" s="4">
        <f t="shared" si="5"/>
        <v>0</v>
      </c>
      <c r="R81" s="3"/>
      <c r="S81" s="3"/>
      <c r="T81" s="3"/>
      <c r="U81" s="3"/>
      <c r="V81" s="3"/>
      <c r="W81" s="3" t="s">
        <v>46</v>
      </c>
      <c r="X81" s="3"/>
    </row>
    <row r="82" spans="1:24" ht="57.6" x14ac:dyDescent="0.3">
      <c r="A82" s="6">
        <v>46382</v>
      </c>
      <c r="B82" s="3" t="s">
        <v>53</v>
      </c>
      <c r="C82" s="3" t="s">
        <v>94</v>
      </c>
      <c r="D82" s="3" t="s">
        <v>110</v>
      </c>
      <c r="E82" s="3" t="s">
        <v>46</v>
      </c>
      <c r="F82" s="3" t="s">
        <v>46</v>
      </c>
      <c r="G82" s="3" t="s">
        <v>46</v>
      </c>
      <c r="H82" s="3" t="s">
        <v>46</v>
      </c>
      <c r="I82" s="3">
        <v>8</v>
      </c>
      <c r="J82" s="3" t="s">
        <v>111</v>
      </c>
      <c r="K82" s="3" t="s">
        <v>112</v>
      </c>
      <c r="L82" s="3" t="s">
        <v>113</v>
      </c>
      <c r="M82" s="3" t="s">
        <v>114</v>
      </c>
      <c r="N82" s="3" t="s">
        <v>78</v>
      </c>
      <c r="O82" s="3" t="s">
        <v>46</v>
      </c>
      <c r="P82" s="3">
        <f t="shared" si="4"/>
        <v>8</v>
      </c>
      <c r="Q82" s="4">
        <f t="shared" si="5"/>
        <v>0</v>
      </c>
      <c r="R82" s="3"/>
      <c r="S82" s="3"/>
      <c r="T82" s="3"/>
      <c r="U82" s="3"/>
      <c r="V82" s="3"/>
      <c r="W82" s="3" t="s">
        <v>46</v>
      </c>
      <c r="X82" s="3"/>
    </row>
    <row r="83" spans="1:24" ht="57.6" x14ac:dyDescent="0.3">
      <c r="A83" s="6">
        <v>46383</v>
      </c>
      <c r="B83" s="3" t="s">
        <v>54</v>
      </c>
      <c r="C83" s="3" t="s">
        <v>94</v>
      </c>
      <c r="D83" s="3" t="s">
        <v>110</v>
      </c>
      <c r="E83" s="3" t="s">
        <v>46</v>
      </c>
      <c r="F83" s="3" t="s">
        <v>46</v>
      </c>
      <c r="G83" s="3" t="s">
        <v>46</v>
      </c>
      <c r="H83" s="3" t="s">
        <v>46</v>
      </c>
      <c r="I83" s="3">
        <v>6</v>
      </c>
      <c r="J83" s="3" t="s">
        <v>111</v>
      </c>
      <c r="K83" s="3" t="s">
        <v>112</v>
      </c>
      <c r="L83" s="3" t="s">
        <v>113</v>
      </c>
      <c r="M83" s="3" t="s">
        <v>114</v>
      </c>
      <c r="N83" s="3" t="s">
        <v>78</v>
      </c>
      <c r="O83" s="3" t="s">
        <v>46</v>
      </c>
      <c r="P83" s="3">
        <f t="shared" si="4"/>
        <v>6</v>
      </c>
      <c r="Q83" s="4">
        <f t="shared" si="5"/>
        <v>0</v>
      </c>
      <c r="R83" s="3"/>
      <c r="S83" s="3"/>
      <c r="T83" s="3"/>
      <c r="U83" s="3"/>
      <c r="V83" s="3"/>
      <c r="W83" s="3" t="s">
        <v>46</v>
      </c>
      <c r="X83" s="3"/>
    </row>
    <row r="84" spans="1:24" ht="57.6" x14ac:dyDescent="0.3">
      <c r="A84" s="6">
        <v>46384</v>
      </c>
      <c r="B84" s="3" t="s">
        <v>60</v>
      </c>
      <c r="C84" s="3" t="s">
        <v>94</v>
      </c>
      <c r="D84" s="3" t="s">
        <v>110</v>
      </c>
      <c r="E84" s="3" t="s">
        <v>46</v>
      </c>
      <c r="F84" s="3" t="s">
        <v>46</v>
      </c>
      <c r="G84" s="3" t="s">
        <v>46</v>
      </c>
      <c r="H84" s="3" t="s">
        <v>46</v>
      </c>
      <c r="I84" s="3">
        <v>8</v>
      </c>
      <c r="J84" s="3" t="s">
        <v>111</v>
      </c>
      <c r="K84" s="3" t="s">
        <v>112</v>
      </c>
      <c r="L84" s="3" t="s">
        <v>113</v>
      </c>
      <c r="M84" s="3" t="s">
        <v>114</v>
      </c>
      <c r="N84" s="3" t="s">
        <v>78</v>
      </c>
      <c r="O84" s="3" t="s">
        <v>46</v>
      </c>
      <c r="P84" s="3">
        <f t="shared" si="4"/>
        <v>8</v>
      </c>
      <c r="Q84" s="4">
        <f t="shared" si="5"/>
        <v>0</v>
      </c>
      <c r="R84" s="3"/>
      <c r="S84" s="3"/>
      <c r="T84" s="3"/>
      <c r="U84" s="3"/>
      <c r="V84" s="3"/>
      <c r="W84" s="3" t="s">
        <v>46</v>
      </c>
      <c r="X84" s="3"/>
    </row>
    <row r="85" spans="1:24" ht="57.6" x14ac:dyDescent="0.3">
      <c r="A85" s="6">
        <v>46385</v>
      </c>
      <c r="B85" s="3" t="s">
        <v>61</v>
      </c>
      <c r="C85" s="3" t="s">
        <v>94</v>
      </c>
      <c r="D85" s="3" t="s">
        <v>110</v>
      </c>
      <c r="E85" s="3" t="s">
        <v>46</v>
      </c>
      <c r="F85" s="3" t="s">
        <v>46</v>
      </c>
      <c r="G85" s="3" t="s">
        <v>46</v>
      </c>
      <c r="H85" s="3" t="s">
        <v>46</v>
      </c>
      <c r="I85" s="3">
        <v>8</v>
      </c>
      <c r="J85" s="3" t="s">
        <v>111</v>
      </c>
      <c r="K85" s="3" t="s">
        <v>112</v>
      </c>
      <c r="L85" s="3" t="s">
        <v>113</v>
      </c>
      <c r="M85" s="3" t="s">
        <v>114</v>
      </c>
      <c r="N85" s="3" t="s">
        <v>78</v>
      </c>
      <c r="O85" s="3" t="s">
        <v>46</v>
      </c>
      <c r="P85" s="3">
        <f t="shared" si="4"/>
        <v>8</v>
      </c>
      <c r="Q85" s="4">
        <f t="shared" si="5"/>
        <v>0</v>
      </c>
      <c r="R85" s="3"/>
      <c r="S85" s="3"/>
      <c r="T85" s="3"/>
      <c r="U85" s="3"/>
      <c r="V85" s="3"/>
      <c r="W85" s="3" t="s">
        <v>46</v>
      </c>
      <c r="X85" s="3"/>
    </row>
    <row r="86" spans="1:24" ht="57.6" x14ac:dyDescent="0.3">
      <c r="A86" s="6">
        <v>46386</v>
      </c>
      <c r="B86" s="3" t="s">
        <v>43</v>
      </c>
      <c r="C86" s="3" t="s">
        <v>94</v>
      </c>
      <c r="D86" s="3" t="s">
        <v>110</v>
      </c>
      <c r="E86" s="3" t="s">
        <v>46</v>
      </c>
      <c r="F86" s="3" t="s">
        <v>46</v>
      </c>
      <c r="G86" s="3" t="s">
        <v>46</v>
      </c>
      <c r="H86" s="3" t="s">
        <v>46</v>
      </c>
      <c r="I86" s="3">
        <v>8</v>
      </c>
      <c r="J86" s="3" t="s">
        <v>111</v>
      </c>
      <c r="K86" s="3" t="s">
        <v>112</v>
      </c>
      <c r="L86" s="3" t="s">
        <v>113</v>
      </c>
      <c r="M86" s="3" t="s">
        <v>114</v>
      </c>
      <c r="N86" s="3" t="s">
        <v>78</v>
      </c>
      <c r="O86" s="3" t="s">
        <v>46</v>
      </c>
      <c r="P86" s="3">
        <f t="shared" si="4"/>
        <v>8</v>
      </c>
      <c r="Q86" s="4">
        <f t="shared" si="5"/>
        <v>0</v>
      </c>
      <c r="R86" s="3"/>
      <c r="S86" s="3"/>
      <c r="T86" s="3"/>
      <c r="U86" s="3"/>
      <c r="V86" s="3"/>
      <c r="W86" s="3" t="s">
        <v>46</v>
      </c>
      <c r="X86" s="3"/>
    </row>
    <row r="87" spans="1:24" ht="57.6" x14ac:dyDescent="0.3">
      <c r="A87" s="6">
        <v>46387</v>
      </c>
      <c r="B87" s="3" t="s">
        <v>51</v>
      </c>
      <c r="C87" s="3" t="s">
        <v>94</v>
      </c>
      <c r="D87" s="3" t="s">
        <v>110</v>
      </c>
      <c r="E87" s="3" t="s">
        <v>46</v>
      </c>
      <c r="F87" s="3" t="s">
        <v>46</v>
      </c>
      <c r="G87" s="3" t="s">
        <v>46</v>
      </c>
      <c r="H87" s="3" t="s">
        <v>46</v>
      </c>
      <c r="I87" s="3">
        <v>8</v>
      </c>
      <c r="J87" s="3" t="s">
        <v>111</v>
      </c>
      <c r="K87" s="3" t="s">
        <v>112</v>
      </c>
      <c r="L87" s="3" t="s">
        <v>113</v>
      </c>
      <c r="M87" s="3" t="s">
        <v>114</v>
      </c>
      <c r="N87" s="3" t="s">
        <v>78</v>
      </c>
      <c r="O87" s="3" t="s">
        <v>46</v>
      </c>
      <c r="P87" s="3">
        <f t="shared" si="4"/>
        <v>8</v>
      </c>
      <c r="Q87" s="4">
        <f t="shared" si="5"/>
        <v>0</v>
      </c>
      <c r="R87" s="3"/>
      <c r="S87" s="3"/>
      <c r="T87" s="3"/>
      <c r="U87" s="3"/>
      <c r="V87" s="3"/>
      <c r="W87" s="3" t="s">
        <v>46</v>
      </c>
      <c r="X87" s="3"/>
    </row>
  </sheetData>
  <autoFilter ref="A1:X87" xr:uid="{00000000-0009-0000-0000-000001000000}"/>
  <conditionalFormatting sqref="E2:H88">
    <cfRule type="cellIs" dxfId="8" priority="1" operator="equal">
      <formula>"Completed"</formula>
    </cfRule>
    <cfRule type="cellIs" dxfId="7" priority="2" operator="equal">
      <formula>"In Progress"</formula>
    </cfRule>
    <cfRule type="cellIs" dxfId="6" priority="3" operator="equal">
      <formula>"Skipped"</formula>
    </cfRule>
  </conditionalFormatting>
  <conditionalFormatting sqref="O2:O88">
    <cfRule type="cellIs" dxfId="5" priority="4" operator="equal">
      <formula>"Completed"</formula>
    </cfRule>
    <cfRule type="cellIs" dxfId="4" priority="5" operator="equal">
      <formula>"In Progress"</formula>
    </cfRule>
    <cfRule type="cellIs" dxfId="3" priority="6" operator="equal">
      <formula>"Skipped"</formula>
    </cfRule>
  </conditionalFormatting>
  <conditionalFormatting sqref="X2:X88">
    <cfRule type="cellIs" dxfId="2" priority="7" operator="equal">
      <formula>"Completed"</formula>
    </cfRule>
    <cfRule type="cellIs" dxfId="1" priority="8" operator="equal">
      <formula>"In Progress"</formula>
    </cfRule>
    <cfRule type="cellIs" dxfId="0" priority="9" operator="equal">
      <formula>"Skipped"</formula>
    </cfRule>
  </conditionalFormatting>
  <dataValidations count="1">
    <dataValidation type="list" allowBlank="1" sqref="E2:H88 O2:O88 X2:X88" xr:uid="{00000000-0002-0000-0100-000000000000}">
      <formula1>"Not Started,In Progress,Completed,Skipped"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7"/>
  <sheetViews>
    <sheetView showGridLines="0" workbookViewId="0">
      <pane ySplit="1" topLeftCell="A35" activePane="bottomLeft" state="frozen"/>
      <selection pane="bottomLeft" activeCell="C2" sqref="C2"/>
    </sheetView>
  </sheetViews>
  <sheetFormatPr defaultRowHeight="14.4" x14ac:dyDescent="0.3"/>
  <cols>
    <col min="1" max="3" width="18" customWidth="1"/>
    <col min="4" max="4" width="38" customWidth="1"/>
    <col min="5" max="13" width="36" customWidth="1"/>
  </cols>
  <sheetData>
    <row r="1" spans="1:13" ht="37.950000000000003" customHeight="1" x14ac:dyDescent="0.3">
      <c r="A1" s="1" t="s">
        <v>19</v>
      </c>
      <c r="B1" s="1" t="s">
        <v>20</v>
      </c>
      <c r="C1" s="1" t="s">
        <v>21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</row>
    <row r="2" spans="1:13" ht="57.6" x14ac:dyDescent="0.3">
      <c r="A2" s="6">
        <v>46302</v>
      </c>
      <c r="B2" s="3" t="s">
        <v>43</v>
      </c>
      <c r="C2" s="3" t="s">
        <v>44</v>
      </c>
      <c r="D2" s="3" t="s">
        <v>45</v>
      </c>
      <c r="E2" s="3" t="s">
        <v>125</v>
      </c>
      <c r="F2" s="3" t="s">
        <v>126</v>
      </c>
      <c r="G2" s="3" t="s">
        <v>127</v>
      </c>
      <c r="H2" s="3" t="s">
        <v>128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129</v>
      </c>
    </row>
    <row r="3" spans="1:13" ht="57.6" x14ac:dyDescent="0.3">
      <c r="A3" s="6">
        <v>46303</v>
      </c>
      <c r="B3" s="3" t="s">
        <v>51</v>
      </c>
      <c r="C3" s="3" t="s">
        <v>44</v>
      </c>
      <c r="D3" s="3" t="s">
        <v>45</v>
      </c>
      <c r="E3" s="3" t="s">
        <v>125</v>
      </c>
      <c r="F3" s="3" t="s">
        <v>130</v>
      </c>
      <c r="G3" s="3" t="s">
        <v>131</v>
      </c>
      <c r="H3" s="3" t="s">
        <v>132</v>
      </c>
      <c r="I3" s="3" t="s">
        <v>47</v>
      </c>
      <c r="J3" s="3" t="s">
        <v>48</v>
      </c>
      <c r="K3" s="3" t="s">
        <v>49</v>
      </c>
      <c r="L3" s="3" t="s">
        <v>50</v>
      </c>
      <c r="M3" s="3" t="s">
        <v>129</v>
      </c>
    </row>
    <row r="4" spans="1:13" ht="57.6" x14ac:dyDescent="0.3">
      <c r="A4" s="6">
        <v>46304</v>
      </c>
      <c r="B4" s="3" t="s">
        <v>52</v>
      </c>
      <c r="C4" s="3" t="s">
        <v>44</v>
      </c>
      <c r="D4" s="3" t="s">
        <v>45</v>
      </c>
      <c r="E4" s="3" t="s">
        <v>125</v>
      </c>
      <c r="F4" s="3" t="s">
        <v>133</v>
      </c>
      <c r="G4" s="3" t="s">
        <v>134</v>
      </c>
      <c r="H4" s="3" t="s">
        <v>135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129</v>
      </c>
    </row>
    <row r="5" spans="1:13" ht="57.6" x14ac:dyDescent="0.3">
      <c r="A5" s="6">
        <v>46305</v>
      </c>
      <c r="B5" s="3" t="s">
        <v>53</v>
      </c>
      <c r="C5" s="3" t="s">
        <v>44</v>
      </c>
      <c r="D5" s="3" t="s">
        <v>45</v>
      </c>
      <c r="E5" s="3" t="s">
        <v>125</v>
      </c>
      <c r="F5" s="3" t="s">
        <v>136</v>
      </c>
      <c r="G5" s="3" t="s">
        <v>137</v>
      </c>
      <c r="H5" s="3" t="s">
        <v>138</v>
      </c>
      <c r="I5" s="3" t="s">
        <v>47</v>
      </c>
      <c r="J5" s="3" t="s">
        <v>48</v>
      </c>
      <c r="K5" s="3" t="s">
        <v>49</v>
      </c>
      <c r="L5" s="3" t="s">
        <v>50</v>
      </c>
      <c r="M5" s="3" t="s">
        <v>129</v>
      </c>
    </row>
    <row r="6" spans="1:13" ht="57.6" x14ac:dyDescent="0.3">
      <c r="A6" s="6">
        <v>46306</v>
      </c>
      <c r="B6" s="3" t="s">
        <v>54</v>
      </c>
      <c r="C6" s="3" t="s">
        <v>44</v>
      </c>
      <c r="D6" s="3" t="s">
        <v>55</v>
      </c>
      <c r="E6" s="3" t="s">
        <v>139</v>
      </c>
      <c r="F6" s="3" t="s">
        <v>140</v>
      </c>
      <c r="G6" s="3" t="s">
        <v>141</v>
      </c>
      <c r="H6" s="3" t="s">
        <v>142</v>
      </c>
      <c r="I6" s="3" t="s">
        <v>56</v>
      </c>
      <c r="J6" s="3" t="s">
        <v>57</v>
      </c>
      <c r="K6" s="3" t="s">
        <v>58</v>
      </c>
      <c r="L6" s="3" t="s">
        <v>59</v>
      </c>
      <c r="M6" s="3" t="s">
        <v>143</v>
      </c>
    </row>
    <row r="7" spans="1:13" ht="57.6" x14ac:dyDescent="0.3">
      <c r="A7" s="6">
        <v>46307</v>
      </c>
      <c r="B7" s="3" t="s">
        <v>60</v>
      </c>
      <c r="C7" s="3" t="s">
        <v>44</v>
      </c>
      <c r="D7" s="3" t="s">
        <v>55</v>
      </c>
      <c r="E7" s="3" t="s">
        <v>139</v>
      </c>
      <c r="F7" s="3" t="s">
        <v>144</v>
      </c>
      <c r="G7" s="3" t="s">
        <v>145</v>
      </c>
      <c r="H7" s="3" t="s">
        <v>146</v>
      </c>
      <c r="I7" s="3" t="s">
        <v>56</v>
      </c>
      <c r="J7" s="3" t="s">
        <v>57</v>
      </c>
      <c r="K7" s="3" t="s">
        <v>58</v>
      </c>
      <c r="L7" s="3" t="s">
        <v>59</v>
      </c>
      <c r="M7" s="3" t="s">
        <v>143</v>
      </c>
    </row>
    <row r="8" spans="1:13" ht="57.6" x14ac:dyDescent="0.3">
      <c r="A8" s="6">
        <v>46308</v>
      </c>
      <c r="B8" s="3" t="s">
        <v>61</v>
      </c>
      <c r="C8" s="3" t="s">
        <v>44</v>
      </c>
      <c r="D8" s="3" t="s">
        <v>55</v>
      </c>
      <c r="E8" s="3" t="s">
        <v>139</v>
      </c>
      <c r="F8" s="3" t="s">
        <v>147</v>
      </c>
      <c r="G8" s="3" t="s">
        <v>148</v>
      </c>
      <c r="H8" s="3" t="s">
        <v>149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143</v>
      </c>
    </row>
    <row r="9" spans="1:13" ht="57.6" x14ac:dyDescent="0.3">
      <c r="A9" s="6">
        <v>46309</v>
      </c>
      <c r="B9" s="3" t="s">
        <v>43</v>
      </c>
      <c r="C9" s="3" t="s">
        <v>44</v>
      </c>
      <c r="D9" s="3" t="s">
        <v>55</v>
      </c>
      <c r="E9" s="3" t="s">
        <v>139</v>
      </c>
      <c r="F9" s="3" t="s">
        <v>126</v>
      </c>
      <c r="G9" s="3" t="s">
        <v>127</v>
      </c>
      <c r="H9" s="3" t="s">
        <v>128</v>
      </c>
      <c r="I9" s="3" t="s">
        <v>56</v>
      </c>
      <c r="J9" s="3" t="s">
        <v>57</v>
      </c>
      <c r="K9" s="3" t="s">
        <v>58</v>
      </c>
      <c r="L9" s="3" t="s">
        <v>59</v>
      </c>
      <c r="M9" s="3" t="s">
        <v>143</v>
      </c>
    </row>
    <row r="10" spans="1:13" ht="57.6" x14ac:dyDescent="0.3">
      <c r="A10" s="6">
        <v>46310</v>
      </c>
      <c r="B10" s="3" t="s">
        <v>51</v>
      </c>
      <c r="C10" s="3" t="s">
        <v>44</v>
      </c>
      <c r="D10" s="3" t="s">
        <v>55</v>
      </c>
      <c r="E10" s="3" t="s">
        <v>139</v>
      </c>
      <c r="F10" s="3" t="s">
        <v>130</v>
      </c>
      <c r="G10" s="3" t="s">
        <v>131</v>
      </c>
      <c r="H10" s="3" t="s">
        <v>132</v>
      </c>
      <c r="I10" s="3" t="s">
        <v>56</v>
      </c>
      <c r="J10" s="3" t="s">
        <v>57</v>
      </c>
      <c r="K10" s="3" t="s">
        <v>58</v>
      </c>
      <c r="L10" s="3" t="s">
        <v>59</v>
      </c>
      <c r="M10" s="3" t="s">
        <v>143</v>
      </c>
    </row>
    <row r="11" spans="1:13" ht="57.6" x14ac:dyDescent="0.3">
      <c r="A11" s="6">
        <v>46311</v>
      </c>
      <c r="B11" s="3" t="s">
        <v>52</v>
      </c>
      <c r="C11" s="3" t="s">
        <v>44</v>
      </c>
      <c r="D11" s="3" t="s">
        <v>55</v>
      </c>
      <c r="E11" s="3" t="s">
        <v>139</v>
      </c>
      <c r="F11" s="3" t="s">
        <v>133</v>
      </c>
      <c r="G11" s="3" t="s">
        <v>134</v>
      </c>
      <c r="H11" s="3" t="s">
        <v>135</v>
      </c>
      <c r="I11" s="3" t="s">
        <v>56</v>
      </c>
      <c r="J11" s="3" t="s">
        <v>57</v>
      </c>
      <c r="K11" s="3" t="s">
        <v>58</v>
      </c>
      <c r="L11" s="3" t="s">
        <v>59</v>
      </c>
      <c r="M11" s="3" t="s">
        <v>143</v>
      </c>
    </row>
    <row r="12" spans="1:13" ht="57.6" x14ac:dyDescent="0.3">
      <c r="A12" s="6">
        <v>46312</v>
      </c>
      <c r="B12" s="3" t="s">
        <v>53</v>
      </c>
      <c r="C12" s="3" t="s">
        <v>44</v>
      </c>
      <c r="D12" s="3" t="s">
        <v>55</v>
      </c>
      <c r="E12" s="3" t="s">
        <v>139</v>
      </c>
      <c r="F12" s="3" t="s">
        <v>136</v>
      </c>
      <c r="G12" s="3" t="s">
        <v>137</v>
      </c>
      <c r="H12" s="3" t="s">
        <v>138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143</v>
      </c>
    </row>
    <row r="13" spans="1:13" ht="57.6" x14ac:dyDescent="0.3">
      <c r="A13" s="6">
        <v>46313</v>
      </c>
      <c r="B13" s="3" t="s">
        <v>54</v>
      </c>
      <c r="C13" s="3" t="s">
        <v>44</v>
      </c>
      <c r="D13" s="3" t="s">
        <v>55</v>
      </c>
      <c r="E13" s="3" t="s">
        <v>139</v>
      </c>
      <c r="F13" s="3" t="s">
        <v>140</v>
      </c>
      <c r="G13" s="3" t="s">
        <v>141</v>
      </c>
      <c r="H13" s="3" t="s">
        <v>142</v>
      </c>
      <c r="I13" s="3" t="s">
        <v>56</v>
      </c>
      <c r="J13" s="3" t="s">
        <v>57</v>
      </c>
      <c r="K13" s="3" t="s">
        <v>58</v>
      </c>
      <c r="L13" s="3" t="s">
        <v>59</v>
      </c>
      <c r="M13" s="3" t="s">
        <v>143</v>
      </c>
    </row>
    <row r="14" spans="1:13" ht="57.6" x14ac:dyDescent="0.3">
      <c r="A14" s="6">
        <v>46314</v>
      </c>
      <c r="B14" s="3" t="s">
        <v>60</v>
      </c>
      <c r="C14" s="3" t="s">
        <v>44</v>
      </c>
      <c r="D14" s="3" t="s">
        <v>62</v>
      </c>
      <c r="E14" s="3" t="s">
        <v>150</v>
      </c>
      <c r="F14" s="3" t="s">
        <v>144</v>
      </c>
      <c r="G14" s="3" t="s">
        <v>145</v>
      </c>
      <c r="H14" s="3" t="s">
        <v>146</v>
      </c>
      <c r="I14" s="3" t="s">
        <v>63</v>
      </c>
      <c r="J14" s="3" t="s">
        <v>64</v>
      </c>
      <c r="K14" s="3" t="s">
        <v>65</v>
      </c>
      <c r="L14" s="3" t="s">
        <v>66</v>
      </c>
      <c r="M14" s="3" t="s">
        <v>151</v>
      </c>
    </row>
    <row r="15" spans="1:13" ht="57.6" x14ac:dyDescent="0.3">
      <c r="A15" s="6">
        <v>46315</v>
      </c>
      <c r="B15" s="3" t="s">
        <v>61</v>
      </c>
      <c r="C15" s="3" t="s">
        <v>44</v>
      </c>
      <c r="D15" s="3" t="s">
        <v>62</v>
      </c>
      <c r="E15" s="3" t="s">
        <v>150</v>
      </c>
      <c r="F15" s="3" t="s">
        <v>147</v>
      </c>
      <c r="G15" s="3" t="s">
        <v>148</v>
      </c>
      <c r="H15" s="3" t="s">
        <v>149</v>
      </c>
      <c r="I15" s="3" t="s">
        <v>63</v>
      </c>
      <c r="J15" s="3" t="s">
        <v>64</v>
      </c>
      <c r="K15" s="3" t="s">
        <v>65</v>
      </c>
      <c r="L15" s="3" t="s">
        <v>66</v>
      </c>
      <c r="M15" s="3" t="s">
        <v>151</v>
      </c>
    </row>
    <row r="16" spans="1:13" ht="57.6" x14ac:dyDescent="0.3">
      <c r="A16" s="6">
        <v>46316</v>
      </c>
      <c r="B16" s="3" t="s">
        <v>43</v>
      </c>
      <c r="C16" s="3" t="s">
        <v>44</v>
      </c>
      <c r="D16" s="3" t="s">
        <v>62</v>
      </c>
      <c r="E16" s="3" t="s">
        <v>150</v>
      </c>
      <c r="F16" s="3" t="s">
        <v>126</v>
      </c>
      <c r="G16" s="3" t="s">
        <v>127</v>
      </c>
      <c r="H16" s="3" t="s">
        <v>128</v>
      </c>
      <c r="I16" s="3" t="s">
        <v>63</v>
      </c>
      <c r="J16" s="3" t="s">
        <v>64</v>
      </c>
      <c r="K16" s="3" t="s">
        <v>65</v>
      </c>
      <c r="L16" s="3" t="s">
        <v>66</v>
      </c>
      <c r="M16" s="3" t="s">
        <v>151</v>
      </c>
    </row>
    <row r="17" spans="1:13" ht="57.6" x14ac:dyDescent="0.3">
      <c r="A17" s="6">
        <v>46317</v>
      </c>
      <c r="B17" s="3" t="s">
        <v>51</v>
      </c>
      <c r="C17" s="3" t="s">
        <v>44</v>
      </c>
      <c r="D17" s="3" t="s">
        <v>62</v>
      </c>
      <c r="E17" s="3" t="s">
        <v>150</v>
      </c>
      <c r="F17" s="3" t="s">
        <v>130</v>
      </c>
      <c r="G17" s="3" t="s">
        <v>131</v>
      </c>
      <c r="H17" s="3" t="s">
        <v>132</v>
      </c>
      <c r="I17" s="3" t="s">
        <v>63</v>
      </c>
      <c r="J17" s="3" t="s">
        <v>64</v>
      </c>
      <c r="K17" s="3" t="s">
        <v>65</v>
      </c>
      <c r="L17" s="3" t="s">
        <v>66</v>
      </c>
      <c r="M17" s="3" t="s">
        <v>151</v>
      </c>
    </row>
    <row r="18" spans="1:13" ht="57.6" x14ac:dyDescent="0.3">
      <c r="A18" s="6">
        <v>46318</v>
      </c>
      <c r="B18" s="3" t="s">
        <v>52</v>
      </c>
      <c r="C18" s="3" t="s">
        <v>44</v>
      </c>
      <c r="D18" s="3" t="s">
        <v>62</v>
      </c>
      <c r="E18" s="3" t="s">
        <v>150</v>
      </c>
      <c r="F18" s="3" t="s">
        <v>133</v>
      </c>
      <c r="G18" s="3" t="s">
        <v>134</v>
      </c>
      <c r="H18" s="3" t="s">
        <v>135</v>
      </c>
      <c r="I18" s="3" t="s">
        <v>63</v>
      </c>
      <c r="J18" s="3" t="s">
        <v>64</v>
      </c>
      <c r="K18" s="3" t="s">
        <v>65</v>
      </c>
      <c r="L18" s="3" t="s">
        <v>66</v>
      </c>
      <c r="M18" s="3" t="s">
        <v>151</v>
      </c>
    </row>
    <row r="19" spans="1:13" ht="57.6" x14ac:dyDescent="0.3">
      <c r="A19" s="6">
        <v>46319</v>
      </c>
      <c r="B19" s="3" t="s">
        <v>53</v>
      </c>
      <c r="C19" s="3" t="s">
        <v>44</v>
      </c>
      <c r="D19" s="3" t="s">
        <v>62</v>
      </c>
      <c r="E19" s="3" t="s">
        <v>150</v>
      </c>
      <c r="F19" s="3" t="s">
        <v>136</v>
      </c>
      <c r="G19" s="3" t="s">
        <v>137</v>
      </c>
      <c r="H19" s="3" t="s">
        <v>138</v>
      </c>
      <c r="I19" s="3" t="s">
        <v>63</v>
      </c>
      <c r="J19" s="3" t="s">
        <v>64</v>
      </c>
      <c r="K19" s="3" t="s">
        <v>65</v>
      </c>
      <c r="L19" s="3" t="s">
        <v>66</v>
      </c>
      <c r="M19" s="3" t="s">
        <v>151</v>
      </c>
    </row>
    <row r="20" spans="1:13" ht="57.6" x14ac:dyDescent="0.3">
      <c r="A20" s="6">
        <v>46320</v>
      </c>
      <c r="B20" s="3" t="s">
        <v>54</v>
      </c>
      <c r="C20" s="3" t="s">
        <v>44</v>
      </c>
      <c r="D20" s="3" t="s">
        <v>62</v>
      </c>
      <c r="E20" s="3" t="s">
        <v>150</v>
      </c>
      <c r="F20" s="3" t="s">
        <v>140</v>
      </c>
      <c r="G20" s="3" t="s">
        <v>141</v>
      </c>
      <c r="H20" s="3" t="s">
        <v>142</v>
      </c>
      <c r="I20" s="3" t="s">
        <v>63</v>
      </c>
      <c r="J20" s="3" t="s">
        <v>64</v>
      </c>
      <c r="K20" s="3" t="s">
        <v>65</v>
      </c>
      <c r="L20" s="3" t="s">
        <v>66</v>
      </c>
      <c r="M20" s="3" t="s">
        <v>151</v>
      </c>
    </row>
    <row r="21" spans="1:13" ht="57.6" x14ac:dyDescent="0.3">
      <c r="A21" s="6">
        <v>46321</v>
      </c>
      <c r="B21" s="3" t="s">
        <v>60</v>
      </c>
      <c r="C21" s="3" t="s">
        <v>44</v>
      </c>
      <c r="D21" s="3" t="s">
        <v>67</v>
      </c>
      <c r="E21" s="3" t="s">
        <v>152</v>
      </c>
      <c r="F21" s="3" t="s">
        <v>144</v>
      </c>
      <c r="G21" s="3" t="s">
        <v>145</v>
      </c>
      <c r="H21" s="3" t="s">
        <v>146</v>
      </c>
      <c r="I21" s="3" t="s">
        <v>68</v>
      </c>
      <c r="J21" s="3" t="s">
        <v>69</v>
      </c>
      <c r="K21" s="3" t="s">
        <v>70</v>
      </c>
      <c r="L21" s="3" t="s">
        <v>71</v>
      </c>
      <c r="M21" s="3" t="s">
        <v>153</v>
      </c>
    </row>
    <row r="22" spans="1:13" ht="57.6" x14ac:dyDescent="0.3">
      <c r="A22" s="6">
        <v>46322</v>
      </c>
      <c r="B22" s="3" t="s">
        <v>61</v>
      </c>
      <c r="C22" s="3" t="s">
        <v>44</v>
      </c>
      <c r="D22" s="3" t="s">
        <v>67</v>
      </c>
      <c r="E22" s="3" t="s">
        <v>152</v>
      </c>
      <c r="F22" s="3" t="s">
        <v>147</v>
      </c>
      <c r="G22" s="3" t="s">
        <v>148</v>
      </c>
      <c r="H22" s="3" t="s">
        <v>149</v>
      </c>
      <c r="I22" s="3" t="s">
        <v>68</v>
      </c>
      <c r="J22" s="3" t="s">
        <v>69</v>
      </c>
      <c r="K22" s="3" t="s">
        <v>70</v>
      </c>
      <c r="L22" s="3" t="s">
        <v>71</v>
      </c>
      <c r="M22" s="3" t="s">
        <v>153</v>
      </c>
    </row>
    <row r="23" spans="1:13" ht="57.6" x14ac:dyDescent="0.3">
      <c r="A23" s="6">
        <v>46323</v>
      </c>
      <c r="B23" s="3" t="s">
        <v>43</v>
      </c>
      <c r="C23" s="3" t="s">
        <v>44</v>
      </c>
      <c r="D23" s="3" t="s">
        <v>67</v>
      </c>
      <c r="E23" s="3" t="s">
        <v>152</v>
      </c>
      <c r="F23" s="3" t="s">
        <v>126</v>
      </c>
      <c r="G23" s="3" t="s">
        <v>127</v>
      </c>
      <c r="H23" s="3" t="s">
        <v>128</v>
      </c>
      <c r="I23" s="3" t="s">
        <v>68</v>
      </c>
      <c r="J23" s="3" t="s">
        <v>69</v>
      </c>
      <c r="K23" s="3" t="s">
        <v>70</v>
      </c>
      <c r="L23" s="3" t="s">
        <v>71</v>
      </c>
      <c r="M23" s="3" t="s">
        <v>153</v>
      </c>
    </row>
    <row r="24" spans="1:13" ht="57.6" x14ac:dyDescent="0.3">
      <c r="A24" s="6">
        <v>46324</v>
      </c>
      <c r="B24" s="3" t="s">
        <v>51</v>
      </c>
      <c r="C24" s="3" t="s">
        <v>44</v>
      </c>
      <c r="D24" s="3" t="s">
        <v>67</v>
      </c>
      <c r="E24" s="3" t="s">
        <v>152</v>
      </c>
      <c r="F24" s="3" t="s">
        <v>130</v>
      </c>
      <c r="G24" s="3" t="s">
        <v>131</v>
      </c>
      <c r="H24" s="3" t="s">
        <v>132</v>
      </c>
      <c r="I24" s="3" t="s">
        <v>68</v>
      </c>
      <c r="J24" s="3" t="s">
        <v>69</v>
      </c>
      <c r="K24" s="3" t="s">
        <v>70</v>
      </c>
      <c r="L24" s="3" t="s">
        <v>71</v>
      </c>
      <c r="M24" s="3" t="s">
        <v>153</v>
      </c>
    </row>
    <row r="25" spans="1:13" ht="57.6" x14ac:dyDescent="0.3">
      <c r="A25" s="6">
        <v>46325</v>
      </c>
      <c r="B25" s="3" t="s">
        <v>52</v>
      </c>
      <c r="C25" s="3" t="s">
        <v>44</v>
      </c>
      <c r="D25" s="3" t="s">
        <v>67</v>
      </c>
      <c r="E25" s="3" t="s">
        <v>152</v>
      </c>
      <c r="F25" s="3" t="s">
        <v>133</v>
      </c>
      <c r="G25" s="3" t="s">
        <v>134</v>
      </c>
      <c r="H25" s="3" t="s">
        <v>135</v>
      </c>
      <c r="I25" s="3" t="s">
        <v>68</v>
      </c>
      <c r="J25" s="3" t="s">
        <v>69</v>
      </c>
      <c r="K25" s="3" t="s">
        <v>70</v>
      </c>
      <c r="L25" s="3" t="s">
        <v>71</v>
      </c>
      <c r="M25" s="3" t="s">
        <v>153</v>
      </c>
    </row>
    <row r="26" spans="1:13" ht="57.6" x14ac:dyDescent="0.3">
      <c r="A26" s="6">
        <v>46326</v>
      </c>
      <c r="B26" s="3" t="s">
        <v>53</v>
      </c>
      <c r="C26" s="3" t="s">
        <v>44</v>
      </c>
      <c r="D26" s="3" t="s">
        <v>67</v>
      </c>
      <c r="E26" s="3" t="s">
        <v>152</v>
      </c>
      <c r="F26" s="3" t="s">
        <v>136</v>
      </c>
      <c r="G26" s="3" t="s">
        <v>137</v>
      </c>
      <c r="H26" s="3" t="s">
        <v>138</v>
      </c>
      <c r="I26" s="3" t="s">
        <v>68</v>
      </c>
      <c r="J26" s="3" t="s">
        <v>69</v>
      </c>
      <c r="K26" s="3" t="s">
        <v>70</v>
      </c>
      <c r="L26" s="3" t="s">
        <v>71</v>
      </c>
      <c r="M26" s="3" t="s">
        <v>153</v>
      </c>
    </row>
    <row r="27" spans="1:13" ht="43.2" x14ac:dyDescent="0.3">
      <c r="A27" s="6">
        <v>46327</v>
      </c>
      <c r="B27" s="3" t="s">
        <v>54</v>
      </c>
      <c r="C27" s="3" t="s">
        <v>72</v>
      </c>
      <c r="D27" s="3" t="s">
        <v>73</v>
      </c>
      <c r="E27" s="3" t="s">
        <v>154</v>
      </c>
      <c r="F27" s="3" t="s">
        <v>140</v>
      </c>
      <c r="G27" s="3" t="s">
        <v>141</v>
      </c>
      <c r="H27" s="3" t="s">
        <v>142</v>
      </c>
      <c r="I27" s="3" t="s">
        <v>74</v>
      </c>
      <c r="J27" s="3" t="s">
        <v>75</v>
      </c>
      <c r="K27" s="3" t="s">
        <v>76</v>
      </c>
      <c r="L27" s="3" t="s">
        <v>77</v>
      </c>
      <c r="M27" s="3" t="s">
        <v>155</v>
      </c>
    </row>
    <row r="28" spans="1:13" ht="43.2" x14ac:dyDescent="0.3">
      <c r="A28" s="6">
        <v>46328</v>
      </c>
      <c r="B28" s="3" t="s">
        <v>60</v>
      </c>
      <c r="C28" s="3" t="s">
        <v>72</v>
      </c>
      <c r="D28" s="3" t="s">
        <v>73</v>
      </c>
      <c r="E28" s="3" t="s">
        <v>154</v>
      </c>
      <c r="F28" s="3" t="s">
        <v>144</v>
      </c>
      <c r="G28" s="3" t="s">
        <v>145</v>
      </c>
      <c r="H28" s="3" t="s">
        <v>146</v>
      </c>
      <c r="I28" s="3" t="s">
        <v>74</v>
      </c>
      <c r="J28" s="3" t="s">
        <v>75</v>
      </c>
      <c r="K28" s="3" t="s">
        <v>76</v>
      </c>
      <c r="L28" s="3" t="s">
        <v>77</v>
      </c>
      <c r="M28" s="3" t="s">
        <v>155</v>
      </c>
    </row>
    <row r="29" spans="1:13" ht="43.2" x14ac:dyDescent="0.3">
      <c r="A29" s="6">
        <v>46329</v>
      </c>
      <c r="B29" s="3" t="s">
        <v>61</v>
      </c>
      <c r="C29" s="3" t="s">
        <v>72</v>
      </c>
      <c r="D29" s="3" t="s">
        <v>73</v>
      </c>
      <c r="E29" s="3" t="s">
        <v>154</v>
      </c>
      <c r="F29" s="3" t="s">
        <v>147</v>
      </c>
      <c r="G29" s="3" t="s">
        <v>148</v>
      </c>
      <c r="H29" s="3" t="s">
        <v>149</v>
      </c>
      <c r="I29" s="3" t="s">
        <v>74</v>
      </c>
      <c r="J29" s="3" t="s">
        <v>75</v>
      </c>
      <c r="K29" s="3" t="s">
        <v>76</v>
      </c>
      <c r="L29" s="3" t="s">
        <v>77</v>
      </c>
      <c r="M29" s="3" t="s">
        <v>155</v>
      </c>
    </row>
    <row r="30" spans="1:13" ht="43.2" x14ac:dyDescent="0.3">
      <c r="A30" s="6">
        <v>46330</v>
      </c>
      <c r="B30" s="3" t="s">
        <v>43</v>
      </c>
      <c r="C30" s="3" t="s">
        <v>72</v>
      </c>
      <c r="D30" s="3" t="s">
        <v>73</v>
      </c>
      <c r="E30" s="3" t="s">
        <v>154</v>
      </c>
      <c r="F30" s="3" t="s">
        <v>126</v>
      </c>
      <c r="G30" s="3" t="s">
        <v>127</v>
      </c>
      <c r="H30" s="3" t="s">
        <v>128</v>
      </c>
      <c r="I30" s="3" t="s">
        <v>74</v>
      </c>
      <c r="J30" s="3" t="s">
        <v>75</v>
      </c>
      <c r="K30" s="3" t="s">
        <v>76</v>
      </c>
      <c r="L30" s="3" t="s">
        <v>77</v>
      </c>
      <c r="M30" s="3" t="s">
        <v>155</v>
      </c>
    </row>
    <row r="31" spans="1:13" ht="43.2" x14ac:dyDescent="0.3">
      <c r="A31" s="6">
        <v>46331</v>
      </c>
      <c r="B31" s="3" t="s">
        <v>51</v>
      </c>
      <c r="C31" s="3" t="s">
        <v>72</v>
      </c>
      <c r="D31" s="3" t="s">
        <v>73</v>
      </c>
      <c r="E31" s="3" t="s">
        <v>154</v>
      </c>
      <c r="F31" s="3" t="s">
        <v>130</v>
      </c>
      <c r="G31" s="3" t="s">
        <v>131</v>
      </c>
      <c r="H31" s="3" t="s">
        <v>132</v>
      </c>
      <c r="I31" s="3" t="s">
        <v>74</v>
      </c>
      <c r="J31" s="3" t="s">
        <v>75</v>
      </c>
      <c r="K31" s="3" t="s">
        <v>76</v>
      </c>
      <c r="L31" s="3" t="s">
        <v>77</v>
      </c>
      <c r="M31" s="3" t="s">
        <v>155</v>
      </c>
    </row>
    <row r="32" spans="1:13" ht="43.2" x14ac:dyDescent="0.3">
      <c r="A32" s="6">
        <v>46332</v>
      </c>
      <c r="B32" s="3" t="s">
        <v>52</v>
      </c>
      <c r="C32" s="3" t="s">
        <v>72</v>
      </c>
      <c r="D32" s="3" t="s">
        <v>73</v>
      </c>
      <c r="E32" s="3" t="s">
        <v>154</v>
      </c>
      <c r="F32" s="3" t="s">
        <v>133</v>
      </c>
      <c r="G32" s="3" t="s">
        <v>134</v>
      </c>
      <c r="H32" s="3" t="s">
        <v>135</v>
      </c>
      <c r="I32" s="3" t="s">
        <v>74</v>
      </c>
      <c r="J32" s="3" t="s">
        <v>75</v>
      </c>
      <c r="K32" s="3" t="s">
        <v>76</v>
      </c>
      <c r="L32" s="3" t="s">
        <v>77</v>
      </c>
      <c r="M32" s="3" t="s">
        <v>155</v>
      </c>
    </row>
    <row r="33" spans="1:13" ht="43.2" x14ac:dyDescent="0.3">
      <c r="A33" s="6">
        <v>46333</v>
      </c>
      <c r="B33" s="3" t="s">
        <v>53</v>
      </c>
      <c r="C33" s="3" t="s">
        <v>72</v>
      </c>
      <c r="D33" s="3" t="s">
        <v>73</v>
      </c>
      <c r="E33" s="3" t="s">
        <v>154</v>
      </c>
      <c r="F33" s="3" t="s">
        <v>136</v>
      </c>
      <c r="G33" s="3" t="s">
        <v>137</v>
      </c>
      <c r="H33" s="3" t="s">
        <v>138</v>
      </c>
      <c r="I33" s="3" t="s">
        <v>74</v>
      </c>
      <c r="J33" s="3" t="s">
        <v>75</v>
      </c>
      <c r="K33" s="3" t="s">
        <v>76</v>
      </c>
      <c r="L33" s="3" t="s">
        <v>77</v>
      </c>
      <c r="M33" s="3" t="s">
        <v>155</v>
      </c>
    </row>
    <row r="34" spans="1:13" ht="43.2" x14ac:dyDescent="0.3">
      <c r="A34" s="6">
        <v>46334</v>
      </c>
      <c r="B34" s="3" t="s">
        <v>54</v>
      </c>
      <c r="C34" s="3" t="s">
        <v>72</v>
      </c>
      <c r="D34" s="3" t="s">
        <v>79</v>
      </c>
      <c r="E34" s="3" t="s">
        <v>156</v>
      </c>
      <c r="F34" s="3" t="s">
        <v>140</v>
      </c>
      <c r="G34" s="3" t="s">
        <v>141</v>
      </c>
      <c r="H34" s="3" t="s">
        <v>142</v>
      </c>
      <c r="I34" s="3" t="s">
        <v>80</v>
      </c>
      <c r="J34" s="3" t="s">
        <v>81</v>
      </c>
      <c r="K34" s="3" t="s">
        <v>82</v>
      </c>
      <c r="L34" s="3" t="s">
        <v>83</v>
      </c>
      <c r="M34" s="3" t="s">
        <v>157</v>
      </c>
    </row>
    <row r="35" spans="1:13" ht="43.2" x14ac:dyDescent="0.3">
      <c r="A35" s="6">
        <v>46335</v>
      </c>
      <c r="B35" s="3" t="s">
        <v>60</v>
      </c>
      <c r="C35" s="3" t="s">
        <v>72</v>
      </c>
      <c r="D35" s="3" t="s">
        <v>79</v>
      </c>
      <c r="E35" s="3" t="s">
        <v>156</v>
      </c>
      <c r="F35" s="3" t="s">
        <v>144</v>
      </c>
      <c r="G35" s="3" t="s">
        <v>145</v>
      </c>
      <c r="H35" s="3" t="s">
        <v>146</v>
      </c>
      <c r="I35" s="3" t="s">
        <v>80</v>
      </c>
      <c r="J35" s="3" t="s">
        <v>81</v>
      </c>
      <c r="K35" s="3" t="s">
        <v>82</v>
      </c>
      <c r="L35" s="3" t="s">
        <v>83</v>
      </c>
      <c r="M35" s="3" t="s">
        <v>157</v>
      </c>
    </row>
    <row r="36" spans="1:13" ht="43.2" x14ac:dyDescent="0.3">
      <c r="A36" s="6">
        <v>46336</v>
      </c>
      <c r="B36" s="3" t="s">
        <v>61</v>
      </c>
      <c r="C36" s="3" t="s">
        <v>72</v>
      </c>
      <c r="D36" s="3" t="s">
        <v>79</v>
      </c>
      <c r="E36" s="3" t="s">
        <v>156</v>
      </c>
      <c r="F36" s="3" t="s">
        <v>147</v>
      </c>
      <c r="G36" s="3" t="s">
        <v>148</v>
      </c>
      <c r="H36" s="3" t="s">
        <v>149</v>
      </c>
      <c r="I36" s="3" t="s">
        <v>80</v>
      </c>
      <c r="J36" s="3" t="s">
        <v>81</v>
      </c>
      <c r="K36" s="3" t="s">
        <v>82</v>
      </c>
      <c r="L36" s="3" t="s">
        <v>83</v>
      </c>
      <c r="M36" s="3" t="s">
        <v>157</v>
      </c>
    </row>
    <row r="37" spans="1:13" ht="43.2" x14ac:dyDescent="0.3">
      <c r="A37" s="6">
        <v>46337</v>
      </c>
      <c r="B37" s="3" t="s">
        <v>43</v>
      </c>
      <c r="C37" s="3" t="s">
        <v>72</v>
      </c>
      <c r="D37" s="3" t="s">
        <v>79</v>
      </c>
      <c r="E37" s="3" t="s">
        <v>156</v>
      </c>
      <c r="F37" s="3" t="s">
        <v>126</v>
      </c>
      <c r="G37" s="3" t="s">
        <v>127</v>
      </c>
      <c r="H37" s="3" t="s">
        <v>128</v>
      </c>
      <c r="I37" s="3" t="s">
        <v>80</v>
      </c>
      <c r="J37" s="3" t="s">
        <v>81</v>
      </c>
      <c r="K37" s="3" t="s">
        <v>82</v>
      </c>
      <c r="L37" s="3" t="s">
        <v>83</v>
      </c>
      <c r="M37" s="3" t="s">
        <v>157</v>
      </c>
    </row>
    <row r="38" spans="1:13" ht="43.2" x14ac:dyDescent="0.3">
      <c r="A38" s="6">
        <v>46338</v>
      </c>
      <c r="B38" s="3" t="s">
        <v>51</v>
      </c>
      <c r="C38" s="3" t="s">
        <v>72</v>
      </c>
      <c r="D38" s="3" t="s">
        <v>79</v>
      </c>
      <c r="E38" s="3" t="s">
        <v>156</v>
      </c>
      <c r="F38" s="3" t="s">
        <v>130</v>
      </c>
      <c r="G38" s="3" t="s">
        <v>131</v>
      </c>
      <c r="H38" s="3" t="s">
        <v>132</v>
      </c>
      <c r="I38" s="3" t="s">
        <v>80</v>
      </c>
      <c r="J38" s="3" t="s">
        <v>81</v>
      </c>
      <c r="K38" s="3" t="s">
        <v>82</v>
      </c>
      <c r="L38" s="3" t="s">
        <v>83</v>
      </c>
      <c r="M38" s="3" t="s">
        <v>157</v>
      </c>
    </row>
    <row r="39" spans="1:13" ht="43.2" x14ac:dyDescent="0.3">
      <c r="A39" s="6">
        <v>46339</v>
      </c>
      <c r="B39" s="3" t="s">
        <v>52</v>
      </c>
      <c r="C39" s="3" t="s">
        <v>72</v>
      </c>
      <c r="D39" s="3" t="s">
        <v>79</v>
      </c>
      <c r="E39" s="3" t="s">
        <v>156</v>
      </c>
      <c r="F39" s="3" t="s">
        <v>133</v>
      </c>
      <c r="G39" s="3" t="s">
        <v>134</v>
      </c>
      <c r="H39" s="3" t="s">
        <v>135</v>
      </c>
      <c r="I39" s="3" t="s">
        <v>80</v>
      </c>
      <c r="J39" s="3" t="s">
        <v>81</v>
      </c>
      <c r="K39" s="3" t="s">
        <v>82</v>
      </c>
      <c r="L39" s="3" t="s">
        <v>83</v>
      </c>
      <c r="M39" s="3" t="s">
        <v>157</v>
      </c>
    </row>
    <row r="40" spans="1:13" ht="43.2" x14ac:dyDescent="0.3">
      <c r="A40" s="6">
        <v>46340</v>
      </c>
      <c r="B40" s="3" t="s">
        <v>53</v>
      </c>
      <c r="C40" s="3" t="s">
        <v>72</v>
      </c>
      <c r="D40" s="3" t="s">
        <v>79</v>
      </c>
      <c r="E40" s="3" t="s">
        <v>156</v>
      </c>
      <c r="F40" s="3" t="s">
        <v>136</v>
      </c>
      <c r="G40" s="3" t="s">
        <v>137</v>
      </c>
      <c r="H40" s="3" t="s">
        <v>138</v>
      </c>
      <c r="I40" s="3" t="s">
        <v>80</v>
      </c>
      <c r="J40" s="3" t="s">
        <v>81</v>
      </c>
      <c r="K40" s="3" t="s">
        <v>82</v>
      </c>
      <c r="L40" s="3" t="s">
        <v>83</v>
      </c>
      <c r="M40" s="3" t="s">
        <v>157</v>
      </c>
    </row>
    <row r="41" spans="1:13" ht="43.2" x14ac:dyDescent="0.3">
      <c r="A41" s="6">
        <v>46341</v>
      </c>
      <c r="B41" s="3" t="s">
        <v>54</v>
      </c>
      <c r="C41" s="3" t="s">
        <v>72</v>
      </c>
      <c r="D41" s="3" t="s">
        <v>79</v>
      </c>
      <c r="E41" s="3" t="s">
        <v>156</v>
      </c>
      <c r="F41" s="3" t="s">
        <v>140</v>
      </c>
      <c r="G41" s="3" t="s">
        <v>141</v>
      </c>
      <c r="H41" s="3" t="s">
        <v>142</v>
      </c>
      <c r="I41" s="3" t="s">
        <v>80</v>
      </c>
      <c r="J41" s="3" t="s">
        <v>81</v>
      </c>
      <c r="K41" s="3" t="s">
        <v>82</v>
      </c>
      <c r="L41" s="3" t="s">
        <v>83</v>
      </c>
      <c r="M41" s="3" t="s">
        <v>157</v>
      </c>
    </row>
    <row r="42" spans="1:13" ht="43.2" x14ac:dyDescent="0.3">
      <c r="A42" s="6">
        <v>46342</v>
      </c>
      <c r="B42" s="3" t="s">
        <v>60</v>
      </c>
      <c r="C42" s="3" t="s">
        <v>72</v>
      </c>
      <c r="D42" s="3" t="s">
        <v>84</v>
      </c>
      <c r="E42" s="3" t="s">
        <v>158</v>
      </c>
      <c r="F42" s="3" t="s">
        <v>144</v>
      </c>
      <c r="G42" s="3" t="s">
        <v>145</v>
      </c>
      <c r="H42" s="3" t="s">
        <v>146</v>
      </c>
      <c r="I42" s="3" t="s">
        <v>85</v>
      </c>
      <c r="J42" s="3" t="s">
        <v>86</v>
      </c>
      <c r="K42" s="3" t="s">
        <v>87</v>
      </c>
      <c r="L42" s="3" t="s">
        <v>88</v>
      </c>
      <c r="M42" s="3" t="s">
        <v>159</v>
      </c>
    </row>
    <row r="43" spans="1:13" ht="43.2" x14ac:dyDescent="0.3">
      <c r="A43" s="6">
        <v>46343</v>
      </c>
      <c r="B43" s="3" t="s">
        <v>61</v>
      </c>
      <c r="C43" s="3" t="s">
        <v>72</v>
      </c>
      <c r="D43" s="3" t="s">
        <v>84</v>
      </c>
      <c r="E43" s="3" t="s">
        <v>158</v>
      </c>
      <c r="F43" s="3" t="s">
        <v>147</v>
      </c>
      <c r="G43" s="3" t="s">
        <v>148</v>
      </c>
      <c r="H43" s="3" t="s">
        <v>149</v>
      </c>
      <c r="I43" s="3" t="s">
        <v>85</v>
      </c>
      <c r="J43" s="3" t="s">
        <v>86</v>
      </c>
      <c r="K43" s="3" t="s">
        <v>87</v>
      </c>
      <c r="L43" s="3" t="s">
        <v>88</v>
      </c>
      <c r="M43" s="3" t="s">
        <v>159</v>
      </c>
    </row>
    <row r="44" spans="1:13" ht="43.2" x14ac:dyDescent="0.3">
      <c r="A44" s="6">
        <v>46344</v>
      </c>
      <c r="B44" s="3" t="s">
        <v>43</v>
      </c>
      <c r="C44" s="3" t="s">
        <v>72</v>
      </c>
      <c r="D44" s="3" t="s">
        <v>84</v>
      </c>
      <c r="E44" s="3" t="s">
        <v>158</v>
      </c>
      <c r="F44" s="3" t="s">
        <v>126</v>
      </c>
      <c r="G44" s="3" t="s">
        <v>127</v>
      </c>
      <c r="H44" s="3" t="s">
        <v>128</v>
      </c>
      <c r="I44" s="3" t="s">
        <v>85</v>
      </c>
      <c r="J44" s="3" t="s">
        <v>86</v>
      </c>
      <c r="K44" s="3" t="s">
        <v>87</v>
      </c>
      <c r="L44" s="3" t="s">
        <v>88</v>
      </c>
      <c r="M44" s="3" t="s">
        <v>159</v>
      </c>
    </row>
    <row r="45" spans="1:13" ht="43.2" x14ac:dyDescent="0.3">
      <c r="A45" s="6">
        <v>46345</v>
      </c>
      <c r="B45" s="3" t="s">
        <v>51</v>
      </c>
      <c r="C45" s="3" t="s">
        <v>72</v>
      </c>
      <c r="D45" s="3" t="s">
        <v>84</v>
      </c>
      <c r="E45" s="3" t="s">
        <v>158</v>
      </c>
      <c r="F45" s="3" t="s">
        <v>130</v>
      </c>
      <c r="G45" s="3" t="s">
        <v>131</v>
      </c>
      <c r="H45" s="3" t="s">
        <v>132</v>
      </c>
      <c r="I45" s="3" t="s">
        <v>85</v>
      </c>
      <c r="J45" s="3" t="s">
        <v>86</v>
      </c>
      <c r="K45" s="3" t="s">
        <v>87</v>
      </c>
      <c r="L45" s="3" t="s">
        <v>88</v>
      </c>
      <c r="M45" s="3" t="s">
        <v>159</v>
      </c>
    </row>
    <row r="46" spans="1:13" ht="43.2" x14ac:dyDescent="0.3">
      <c r="A46" s="6">
        <v>46346</v>
      </c>
      <c r="B46" s="3" t="s">
        <v>52</v>
      </c>
      <c r="C46" s="3" t="s">
        <v>72</v>
      </c>
      <c r="D46" s="3" t="s">
        <v>84</v>
      </c>
      <c r="E46" s="3" t="s">
        <v>158</v>
      </c>
      <c r="F46" s="3" t="s">
        <v>133</v>
      </c>
      <c r="G46" s="3" t="s">
        <v>134</v>
      </c>
      <c r="H46" s="3" t="s">
        <v>135</v>
      </c>
      <c r="I46" s="3" t="s">
        <v>85</v>
      </c>
      <c r="J46" s="3" t="s">
        <v>86</v>
      </c>
      <c r="K46" s="3" t="s">
        <v>87</v>
      </c>
      <c r="L46" s="3" t="s">
        <v>88</v>
      </c>
      <c r="M46" s="3" t="s">
        <v>159</v>
      </c>
    </row>
    <row r="47" spans="1:13" ht="43.2" x14ac:dyDescent="0.3">
      <c r="A47" s="6">
        <v>46347</v>
      </c>
      <c r="B47" s="3" t="s">
        <v>53</v>
      </c>
      <c r="C47" s="3" t="s">
        <v>72</v>
      </c>
      <c r="D47" s="3" t="s">
        <v>84</v>
      </c>
      <c r="E47" s="3" t="s">
        <v>158</v>
      </c>
      <c r="F47" s="3" t="s">
        <v>136</v>
      </c>
      <c r="G47" s="3" t="s">
        <v>137</v>
      </c>
      <c r="H47" s="3" t="s">
        <v>138</v>
      </c>
      <c r="I47" s="3" t="s">
        <v>85</v>
      </c>
      <c r="J47" s="3" t="s">
        <v>86</v>
      </c>
      <c r="K47" s="3" t="s">
        <v>87</v>
      </c>
      <c r="L47" s="3" t="s">
        <v>88</v>
      </c>
      <c r="M47" s="3" t="s">
        <v>159</v>
      </c>
    </row>
    <row r="48" spans="1:13" ht="43.2" x14ac:dyDescent="0.3">
      <c r="A48" s="6">
        <v>46348</v>
      </c>
      <c r="B48" s="3" t="s">
        <v>54</v>
      </c>
      <c r="C48" s="3" t="s">
        <v>72</v>
      </c>
      <c r="D48" s="3" t="s">
        <v>84</v>
      </c>
      <c r="E48" s="3" t="s">
        <v>158</v>
      </c>
      <c r="F48" s="3" t="s">
        <v>140</v>
      </c>
      <c r="G48" s="3" t="s">
        <v>141</v>
      </c>
      <c r="H48" s="3" t="s">
        <v>142</v>
      </c>
      <c r="I48" s="3" t="s">
        <v>85</v>
      </c>
      <c r="J48" s="3" t="s">
        <v>86</v>
      </c>
      <c r="K48" s="3" t="s">
        <v>87</v>
      </c>
      <c r="L48" s="3" t="s">
        <v>88</v>
      </c>
      <c r="M48" s="3" t="s">
        <v>159</v>
      </c>
    </row>
    <row r="49" spans="1:13" ht="43.2" x14ac:dyDescent="0.3">
      <c r="A49" s="6">
        <v>46349</v>
      </c>
      <c r="B49" s="3" t="s">
        <v>60</v>
      </c>
      <c r="C49" s="3" t="s">
        <v>72</v>
      </c>
      <c r="D49" s="3" t="s">
        <v>84</v>
      </c>
      <c r="E49" s="3" t="s">
        <v>158</v>
      </c>
      <c r="F49" s="3" t="s">
        <v>144</v>
      </c>
      <c r="G49" s="3" t="s">
        <v>145</v>
      </c>
      <c r="H49" s="3" t="s">
        <v>146</v>
      </c>
      <c r="I49" s="3" t="s">
        <v>85</v>
      </c>
      <c r="J49" s="3" t="s">
        <v>86</v>
      </c>
      <c r="K49" s="3" t="s">
        <v>87</v>
      </c>
      <c r="L49" s="3" t="s">
        <v>88</v>
      </c>
      <c r="M49" s="3" t="s">
        <v>159</v>
      </c>
    </row>
    <row r="50" spans="1:13" ht="43.2" x14ac:dyDescent="0.3">
      <c r="A50" s="6">
        <v>46350</v>
      </c>
      <c r="B50" s="3" t="s">
        <v>61</v>
      </c>
      <c r="C50" s="3" t="s">
        <v>72</v>
      </c>
      <c r="D50" s="3" t="s">
        <v>89</v>
      </c>
      <c r="E50" s="3" t="s">
        <v>160</v>
      </c>
      <c r="F50" s="3" t="s">
        <v>147</v>
      </c>
      <c r="G50" s="3" t="s">
        <v>148</v>
      </c>
      <c r="H50" s="3" t="s">
        <v>149</v>
      </c>
      <c r="I50" s="3" t="s">
        <v>90</v>
      </c>
      <c r="J50" s="3" t="s">
        <v>91</v>
      </c>
      <c r="K50" s="3" t="s">
        <v>92</v>
      </c>
      <c r="L50" s="3" t="s">
        <v>93</v>
      </c>
      <c r="M50" s="3" t="s">
        <v>161</v>
      </c>
    </row>
    <row r="51" spans="1:13" ht="43.2" x14ac:dyDescent="0.3">
      <c r="A51" s="6">
        <v>46351</v>
      </c>
      <c r="B51" s="3" t="s">
        <v>43</v>
      </c>
      <c r="C51" s="3" t="s">
        <v>72</v>
      </c>
      <c r="D51" s="3" t="s">
        <v>89</v>
      </c>
      <c r="E51" s="3" t="s">
        <v>160</v>
      </c>
      <c r="F51" s="3" t="s">
        <v>126</v>
      </c>
      <c r="G51" s="3" t="s">
        <v>127</v>
      </c>
      <c r="H51" s="3" t="s">
        <v>128</v>
      </c>
      <c r="I51" s="3" t="s">
        <v>90</v>
      </c>
      <c r="J51" s="3" t="s">
        <v>91</v>
      </c>
      <c r="K51" s="3" t="s">
        <v>92</v>
      </c>
      <c r="L51" s="3" t="s">
        <v>93</v>
      </c>
      <c r="M51" s="3" t="s">
        <v>161</v>
      </c>
    </row>
    <row r="52" spans="1:13" ht="43.2" x14ac:dyDescent="0.3">
      <c r="A52" s="6">
        <v>46352</v>
      </c>
      <c r="B52" s="3" t="s">
        <v>51</v>
      </c>
      <c r="C52" s="3" t="s">
        <v>72</v>
      </c>
      <c r="D52" s="3" t="s">
        <v>89</v>
      </c>
      <c r="E52" s="3" t="s">
        <v>160</v>
      </c>
      <c r="F52" s="3" t="s">
        <v>130</v>
      </c>
      <c r="G52" s="3" t="s">
        <v>131</v>
      </c>
      <c r="H52" s="3" t="s">
        <v>132</v>
      </c>
      <c r="I52" s="3" t="s">
        <v>90</v>
      </c>
      <c r="J52" s="3" t="s">
        <v>91</v>
      </c>
      <c r="K52" s="3" t="s">
        <v>92</v>
      </c>
      <c r="L52" s="3" t="s">
        <v>93</v>
      </c>
      <c r="M52" s="3" t="s">
        <v>161</v>
      </c>
    </row>
    <row r="53" spans="1:13" ht="43.2" x14ac:dyDescent="0.3">
      <c r="A53" s="6">
        <v>46353</v>
      </c>
      <c r="B53" s="3" t="s">
        <v>52</v>
      </c>
      <c r="C53" s="3" t="s">
        <v>72</v>
      </c>
      <c r="D53" s="3" t="s">
        <v>89</v>
      </c>
      <c r="E53" s="3" t="s">
        <v>160</v>
      </c>
      <c r="F53" s="3" t="s">
        <v>133</v>
      </c>
      <c r="G53" s="3" t="s">
        <v>134</v>
      </c>
      <c r="H53" s="3" t="s">
        <v>135</v>
      </c>
      <c r="I53" s="3" t="s">
        <v>90</v>
      </c>
      <c r="J53" s="3" t="s">
        <v>91</v>
      </c>
      <c r="K53" s="3" t="s">
        <v>92</v>
      </c>
      <c r="L53" s="3" t="s">
        <v>93</v>
      </c>
      <c r="M53" s="3" t="s">
        <v>161</v>
      </c>
    </row>
    <row r="54" spans="1:13" ht="43.2" x14ac:dyDescent="0.3">
      <c r="A54" s="6">
        <v>46354</v>
      </c>
      <c r="B54" s="3" t="s">
        <v>53</v>
      </c>
      <c r="C54" s="3" t="s">
        <v>72</v>
      </c>
      <c r="D54" s="3" t="s">
        <v>89</v>
      </c>
      <c r="E54" s="3" t="s">
        <v>160</v>
      </c>
      <c r="F54" s="3" t="s">
        <v>136</v>
      </c>
      <c r="G54" s="3" t="s">
        <v>137</v>
      </c>
      <c r="H54" s="3" t="s">
        <v>138</v>
      </c>
      <c r="I54" s="3" t="s">
        <v>90</v>
      </c>
      <c r="J54" s="3" t="s">
        <v>91</v>
      </c>
      <c r="K54" s="3" t="s">
        <v>92</v>
      </c>
      <c r="L54" s="3" t="s">
        <v>93</v>
      </c>
      <c r="M54" s="3" t="s">
        <v>161</v>
      </c>
    </row>
    <row r="55" spans="1:13" ht="43.2" x14ac:dyDescent="0.3">
      <c r="A55" s="6">
        <v>46355</v>
      </c>
      <c r="B55" s="3" t="s">
        <v>54</v>
      </c>
      <c r="C55" s="3" t="s">
        <v>72</v>
      </c>
      <c r="D55" s="3" t="s">
        <v>89</v>
      </c>
      <c r="E55" s="3" t="s">
        <v>160</v>
      </c>
      <c r="F55" s="3" t="s">
        <v>140</v>
      </c>
      <c r="G55" s="3" t="s">
        <v>141</v>
      </c>
      <c r="H55" s="3" t="s">
        <v>142</v>
      </c>
      <c r="I55" s="3" t="s">
        <v>90</v>
      </c>
      <c r="J55" s="3" t="s">
        <v>91</v>
      </c>
      <c r="K55" s="3" t="s">
        <v>92</v>
      </c>
      <c r="L55" s="3" t="s">
        <v>93</v>
      </c>
      <c r="M55" s="3" t="s">
        <v>161</v>
      </c>
    </row>
    <row r="56" spans="1:13" ht="43.2" x14ac:dyDescent="0.3">
      <c r="A56" s="6">
        <v>46356</v>
      </c>
      <c r="B56" s="3" t="s">
        <v>60</v>
      </c>
      <c r="C56" s="3" t="s">
        <v>72</v>
      </c>
      <c r="D56" s="3" t="s">
        <v>89</v>
      </c>
      <c r="E56" s="3" t="s">
        <v>160</v>
      </c>
      <c r="F56" s="3" t="s">
        <v>144</v>
      </c>
      <c r="G56" s="3" t="s">
        <v>145</v>
      </c>
      <c r="H56" s="3" t="s">
        <v>146</v>
      </c>
      <c r="I56" s="3" t="s">
        <v>90</v>
      </c>
      <c r="J56" s="3" t="s">
        <v>91</v>
      </c>
      <c r="K56" s="3" t="s">
        <v>92</v>
      </c>
      <c r="L56" s="3" t="s">
        <v>93</v>
      </c>
      <c r="M56" s="3" t="s">
        <v>161</v>
      </c>
    </row>
    <row r="57" spans="1:13" ht="57.6" x14ac:dyDescent="0.3">
      <c r="A57" s="6">
        <v>46357</v>
      </c>
      <c r="B57" s="3" t="s">
        <v>61</v>
      </c>
      <c r="C57" s="3" t="s">
        <v>94</v>
      </c>
      <c r="D57" s="3" t="s">
        <v>95</v>
      </c>
      <c r="E57" s="3" t="s">
        <v>162</v>
      </c>
      <c r="F57" s="3" t="s">
        <v>147</v>
      </c>
      <c r="G57" s="3" t="s">
        <v>148</v>
      </c>
      <c r="H57" s="3" t="s">
        <v>149</v>
      </c>
      <c r="I57" s="3" t="s">
        <v>96</v>
      </c>
      <c r="J57" s="3" t="s">
        <v>97</v>
      </c>
      <c r="K57" s="3" t="s">
        <v>98</v>
      </c>
      <c r="L57" s="3" t="s">
        <v>99</v>
      </c>
      <c r="M57" s="3" t="s">
        <v>163</v>
      </c>
    </row>
    <row r="58" spans="1:13" ht="57.6" x14ac:dyDescent="0.3">
      <c r="A58" s="6">
        <v>46358</v>
      </c>
      <c r="B58" s="3" t="s">
        <v>43</v>
      </c>
      <c r="C58" s="3" t="s">
        <v>94</v>
      </c>
      <c r="D58" s="3" t="s">
        <v>95</v>
      </c>
      <c r="E58" s="3" t="s">
        <v>162</v>
      </c>
      <c r="F58" s="3" t="s">
        <v>126</v>
      </c>
      <c r="G58" s="3" t="s">
        <v>127</v>
      </c>
      <c r="H58" s="3" t="s">
        <v>128</v>
      </c>
      <c r="I58" s="3" t="s">
        <v>96</v>
      </c>
      <c r="J58" s="3" t="s">
        <v>97</v>
      </c>
      <c r="K58" s="3" t="s">
        <v>98</v>
      </c>
      <c r="L58" s="3" t="s">
        <v>99</v>
      </c>
      <c r="M58" s="3" t="s">
        <v>163</v>
      </c>
    </row>
    <row r="59" spans="1:13" ht="57.6" x14ac:dyDescent="0.3">
      <c r="A59" s="6">
        <v>46359</v>
      </c>
      <c r="B59" s="3" t="s">
        <v>51</v>
      </c>
      <c r="C59" s="3" t="s">
        <v>94</v>
      </c>
      <c r="D59" s="3" t="s">
        <v>95</v>
      </c>
      <c r="E59" s="3" t="s">
        <v>162</v>
      </c>
      <c r="F59" s="3" t="s">
        <v>130</v>
      </c>
      <c r="G59" s="3" t="s">
        <v>131</v>
      </c>
      <c r="H59" s="3" t="s">
        <v>132</v>
      </c>
      <c r="I59" s="3" t="s">
        <v>96</v>
      </c>
      <c r="J59" s="3" t="s">
        <v>97</v>
      </c>
      <c r="K59" s="3" t="s">
        <v>98</v>
      </c>
      <c r="L59" s="3" t="s">
        <v>99</v>
      </c>
      <c r="M59" s="3" t="s">
        <v>163</v>
      </c>
    </row>
    <row r="60" spans="1:13" ht="57.6" x14ac:dyDescent="0.3">
      <c r="A60" s="6">
        <v>46360</v>
      </c>
      <c r="B60" s="3" t="s">
        <v>52</v>
      </c>
      <c r="C60" s="3" t="s">
        <v>94</v>
      </c>
      <c r="D60" s="3" t="s">
        <v>95</v>
      </c>
      <c r="E60" s="3" t="s">
        <v>162</v>
      </c>
      <c r="F60" s="3" t="s">
        <v>133</v>
      </c>
      <c r="G60" s="3" t="s">
        <v>134</v>
      </c>
      <c r="H60" s="3" t="s">
        <v>135</v>
      </c>
      <c r="I60" s="3" t="s">
        <v>96</v>
      </c>
      <c r="J60" s="3" t="s">
        <v>97</v>
      </c>
      <c r="K60" s="3" t="s">
        <v>98</v>
      </c>
      <c r="L60" s="3" t="s">
        <v>99</v>
      </c>
      <c r="M60" s="3" t="s">
        <v>163</v>
      </c>
    </row>
    <row r="61" spans="1:13" ht="57.6" x14ac:dyDescent="0.3">
      <c r="A61" s="6">
        <v>46361</v>
      </c>
      <c r="B61" s="3" t="s">
        <v>53</v>
      </c>
      <c r="C61" s="3" t="s">
        <v>94</v>
      </c>
      <c r="D61" s="3" t="s">
        <v>95</v>
      </c>
      <c r="E61" s="3" t="s">
        <v>162</v>
      </c>
      <c r="F61" s="3" t="s">
        <v>136</v>
      </c>
      <c r="G61" s="3" t="s">
        <v>137</v>
      </c>
      <c r="H61" s="3" t="s">
        <v>138</v>
      </c>
      <c r="I61" s="3" t="s">
        <v>96</v>
      </c>
      <c r="J61" s="3" t="s">
        <v>97</v>
      </c>
      <c r="K61" s="3" t="s">
        <v>98</v>
      </c>
      <c r="L61" s="3" t="s">
        <v>99</v>
      </c>
      <c r="M61" s="3" t="s">
        <v>163</v>
      </c>
    </row>
    <row r="62" spans="1:13" ht="57.6" x14ac:dyDescent="0.3">
      <c r="A62" s="6">
        <v>46362</v>
      </c>
      <c r="B62" s="3" t="s">
        <v>54</v>
      </c>
      <c r="C62" s="3" t="s">
        <v>94</v>
      </c>
      <c r="D62" s="3" t="s">
        <v>95</v>
      </c>
      <c r="E62" s="3" t="s">
        <v>162</v>
      </c>
      <c r="F62" s="3" t="s">
        <v>140</v>
      </c>
      <c r="G62" s="3" t="s">
        <v>141</v>
      </c>
      <c r="H62" s="3" t="s">
        <v>142</v>
      </c>
      <c r="I62" s="3" t="s">
        <v>96</v>
      </c>
      <c r="J62" s="3" t="s">
        <v>97</v>
      </c>
      <c r="K62" s="3" t="s">
        <v>98</v>
      </c>
      <c r="L62" s="3" t="s">
        <v>99</v>
      </c>
      <c r="M62" s="3" t="s">
        <v>163</v>
      </c>
    </row>
    <row r="63" spans="1:13" ht="57.6" x14ac:dyDescent="0.3">
      <c r="A63" s="6">
        <v>46363</v>
      </c>
      <c r="B63" s="3" t="s">
        <v>60</v>
      </c>
      <c r="C63" s="3" t="s">
        <v>94</v>
      </c>
      <c r="D63" s="3" t="s">
        <v>95</v>
      </c>
      <c r="E63" s="3" t="s">
        <v>162</v>
      </c>
      <c r="F63" s="3" t="s">
        <v>144</v>
      </c>
      <c r="G63" s="3" t="s">
        <v>145</v>
      </c>
      <c r="H63" s="3" t="s">
        <v>146</v>
      </c>
      <c r="I63" s="3" t="s">
        <v>96</v>
      </c>
      <c r="J63" s="3" t="s">
        <v>97</v>
      </c>
      <c r="K63" s="3" t="s">
        <v>98</v>
      </c>
      <c r="L63" s="3" t="s">
        <v>99</v>
      </c>
      <c r="M63" s="3" t="s">
        <v>163</v>
      </c>
    </row>
    <row r="64" spans="1:13" ht="57.6" x14ac:dyDescent="0.3">
      <c r="A64" s="6">
        <v>46364</v>
      </c>
      <c r="B64" s="3" t="s">
        <v>61</v>
      </c>
      <c r="C64" s="3" t="s">
        <v>94</v>
      </c>
      <c r="D64" s="3" t="s">
        <v>100</v>
      </c>
      <c r="E64" s="3" t="s">
        <v>164</v>
      </c>
      <c r="F64" s="3" t="s">
        <v>147</v>
      </c>
      <c r="G64" s="3" t="s">
        <v>148</v>
      </c>
      <c r="H64" s="3" t="s">
        <v>149</v>
      </c>
      <c r="I64" s="3" t="s">
        <v>101</v>
      </c>
      <c r="J64" s="3" t="s">
        <v>102</v>
      </c>
      <c r="K64" s="3" t="s">
        <v>103</v>
      </c>
      <c r="L64" s="3" t="s">
        <v>104</v>
      </c>
      <c r="M64" s="3" t="s">
        <v>165</v>
      </c>
    </row>
    <row r="65" spans="1:13" ht="57.6" x14ac:dyDescent="0.3">
      <c r="A65" s="6">
        <v>46365</v>
      </c>
      <c r="B65" s="3" t="s">
        <v>43</v>
      </c>
      <c r="C65" s="3" t="s">
        <v>94</v>
      </c>
      <c r="D65" s="3" t="s">
        <v>100</v>
      </c>
      <c r="E65" s="3" t="s">
        <v>164</v>
      </c>
      <c r="F65" s="3" t="s">
        <v>126</v>
      </c>
      <c r="G65" s="3" t="s">
        <v>127</v>
      </c>
      <c r="H65" s="3" t="s">
        <v>128</v>
      </c>
      <c r="I65" s="3" t="s">
        <v>101</v>
      </c>
      <c r="J65" s="3" t="s">
        <v>102</v>
      </c>
      <c r="K65" s="3" t="s">
        <v>103</v>
      </c>
      <c r="L65" s="3" t="s">
        <v>104</v>
      </c>
      <c r="M65" s="3" t="s">
        <v>165</v>
      </c>
    </row>
    <row r="66" spans="1:13" ht="57.6" x14ac:dyDescent="0.3">
      <c r="A66" s="6">
        <v>46366</v>
      </c>
      <c r="B66" s="3" t="s">
        <v>51</v>
      </c>
      <c r="C66" s="3" t="s">
        <v>94</v>
      </c>
      <c r="D66" s="3" t="s">
        <v>100</v>
      </c>
      <c r="E66" s="3" t="s">
        <v>164</v>
      </c>
      <c r="F66" s="3" t="s">
        <v>130</v>
      </c>
      <c r="G66" s="3" t="s">
        <v>131</v>
      </c>
      <c r="H66" s="3" t="s">
        <v>132</v>
      </c>
      <c r="I66" s="3" t="s">
        <v>101</v>
      </c>
      <c r="J66" s="3" t="s">
        <v>102</v>
      </c>
      <c r="K66" s="3" t="s">
        <v>103</v>
      </c>
      <c r="L66" s="3" t="s">
        <v>104</v>
      </c>
      <c r="M66" s="3" t="s">
        <v>165</v>
      </c>
    </row>
    <row r="67" spans="1:13" ht="57.6" x14ac:dyDescent="0.3">
      <c r="A67" s="6">
        <v>46367</v>
      </c>
      <c r="B67" s="3" t="s">
        <v>52</v>
      </c>
      <c r="C67" s="3" t="s">
        <v>94</v>
      </c>
      <c r="D67" s="3" t="s">
        <v>100</v>
      </c>
      <c r="E67" s="3" t="s">
        <v>164</v>
      </c>
      <c r="F67" s="3" t="s">
        <v>133</v>
      </c>
      <c r="G67" s="3" t="s">
        <v>134</v>
      </c>
      <c r="H67" s="3" t="s">
        <v>135</v>
      </c>
      <c r="I67" s="3" t="s">
        <v>101</v>
      </c>
      <c r="J67" s="3" t="s">
        <v>102</v>
      </c>
      <c r="K67" s="3" t="s">
        <v>103</v>
      </c>
      <c r="L67" s="3" t="s">
        <v>104</v>
      </c>
      <c r="M67" s="3" t="s">
        <v>165</v>
      </c>
    </row>
    <row r="68" spans="1:13" ht="57.6" x14ac:dyDescent="0.3">
      <c r="A68" s="6">
        <v>46368</v>
      </c>
      <c r="B68" s="3" t="s">
        <v>53</v>
      </c>
      <c r="C68" s="3" t="s">
        <v>94</v>
      </c>
      <c r="D68" s="3" t="s">
        <v>100</v>
      </c>
      <c r="E68" s="3" t="s">
        <v>164</v>
      </c>
      <c r="F68" s="3" t="s">
        <v>136</v>
      </c>
      <c r="G68" s="3" t="s">
        <v>137</v>
      </c>
      <c r="H68" s="3" t="s">
        <v>138</v>
      </c>
      <c r="I68" s="3" t="s">
        <v>101</v>
      </c>
      <c r="J68" s="3" t="s">
        <v>102</v>
      </c>
      <c r="K68" s="3" t="s">
        <v>103</v>
      </c>
      <c r="L68" s="3" t="s">
        <v>104</v>
      </c>
      <c r="M68" s="3" t="s">
        <v>165</v>
      </c>
    </row>
    <row r="69" spans="1:13" ht="57.6" x14ac:dyDescent="0.3">
      <c r="A69" s="6">
        <v>46369</v>
      </c>
      <c r="B69" s="3" t="s">
        <v>54</v>
      </c>
      <c r="C69" s="3" t="s">
        <v>94</v>
      </c>
      <c r="D69" s="3" t="s">
        <v>100</v>
      </c>
      <c r="E69" s="3" t="s">
        <v>164</v>
      </c>
      <c r="F69" s="3" t="s">
        <v>140</v>
      </c>
      <c r="G69" s="3" t="s">
        <v>141</v>
      </c>
      <c r="H69" s="3" t="s">
        <v>142</v>
      </c>
      <c r="I69" s="3" t="s">
        <v>101</v>
      </c>
      <c r="J69" s="3" t="s">
        <v>102</v>
      </c>
      <c r="K69" s="3" t="s">
        <v>103</v>
      </c>
      <c r="L69" s="3" t="s">
        <v>104</v>
      </c>
      <c r="M69" s="3" t="s">
        <v>165</v>
      </c>
    </row>
    <row r="70" spans="1:13" ht="57.6" x14ac:dyDescent="0.3">
      <c r="A70" s="6">
        <v>46370</v>
      </c>
      <c r="B70" s="3" t="s">
        <v>60</v>
      </c>
      <c r="C70" s="3" t="s">
        <v>94</v>
      </c>
      <c r="D70" s="3" t="s">
        <v>100</v>
      </c>
      <c r="E70" s="3" t="s">
        <v>164</v>
      </c>
      <c r="F70" s="3" t="s">
        <v>144</v>
      </c>
      <c r="G70" s="3" t="s">
        <v>145</v>
      </c>
      <c r="H70" s="3" t="s">
        <v>146</v>
      </c>
      <c r="I70" s="3" t="s">
        <v>101</v>
      </c>
      <c r="J70" s="3" t="s">
        <v>102</v>
      </c>
      <c r="K70" s="3" t="s">
        <v>103</v>
      </c>
      <c r="L70" s="3" t="s">
        <v>104</v>
      </c>
      <c r="M70" s="3" t="s">
        <v>165</v>
      </c>
    </row>
    <row r="71" spans="1:13" ht="57.6" x14ac:dyDescent="0.3">
      <c r="A71" s="6">
        <v>46371</v>
      </c>
      <c r="B71" s="3" t="s">
        <v>61</v>
      </c>
      <c r="C71" s="3" t="s">
        <v>94</v>
      </c>
      <c r="D71" s="3" t="s">
        <v>100</v>
      </c>
      <c r="E71" s="3" t="s">
        <v>164</v>
      </c>
      <c r="F71" s="3" t="s">
        <v>147</v>
      </c>
      <c r="G71" s="3" t="s">
        <v>148</v>
      </c>
      <c r="H71" s="3" t="s">
        <v>149</v>
      </c>
      <c r="I71" s="3" t="s">
        <v>101</v>
      </c>
      <c r="J71" s="3" t="s">
        <v>102</v>
      </c>
      <c r="K71" s="3" t="s">
        <v>103</v>
      </c>
      <c r="L71" s="3" t="s">
        <v>104</v>
      </c>
      <c r="M71" s="3" t="s">
        <v>165</v>
      </c>
    </row>
    <row r="72" spans="1:13" ht="57.6" x14ac:dyDescent="0.3">
      <c r="A72" s="6">
        <v>46372</v>
      </c>
      <c r="B72" s="3" t="s">
        <v>43</v>
      </c>
      <c r="C72" s="3" t="s">
        <v>94</v>
      </c>
      <c r="D72" s="3" t="s">
        <v>105</v>
      </c>
      <c r="E72" s="3" t="s">
        <v>166</v>
      </c>
      <c r="F72" s="3" t="s">
        <v>126</v>
      </c>
      <c r="G72" s="3" t="s">
        <v>127</v>
      </c>
      <c r="H72" s="3" t="s">
        <v>128</v>
      </c>
      <c r="I72" s="3" t="s">
        <v>106</v>
      </c>
      <c r="J72" s="3" t="s">
        <v>107</v>
      </c>
      <c r="K72" s="3" t="s">
        <v>108</v>
      </c>
      <c r="L72" s="3" t="s">
        <v>109</v>
      </c>
      <c r="M72" s="3" t="s">
        <v>167</v>
      </c>
    </row>
    <row r="73" spans="1:13" ht="57.6" x14ac:dyDescent="0.3">
      <c r="A73" s="6">
        <v>46373</v>
      </c>
      <c r="B73" s="3" t="s">
        <v>51</v>
      </c>
      <c r="C73" s="3" t="s">
        <v>94</v>
      </c>
      <c r="D73" s="3" t="s">
        <v>105</v>
      </c>
      <c r="E73" s="3" t="s">
        <v>166</v>
      </c>
      <c r="F73" s="3" t="s">
        <v>130</v>
      </c>
      <c r="G73" s="3" t="s">
        <v>131</v>
      </c>
      <c r="H73" s="3" t="s">
        <v>132</v>
      </c>
      <c r="I73" s="3" t="s">
        <v>106</v>
      </c>
      <c r="J73" s="3" t="s">
        <v>107</v>
      </c>
      <c r="K73" s="3" t="s">
        <v>108</v>
      </c>
      <c r="L73" s="3" t="s">
        <v>109</v>
      </c>
      <c r="M73" s="3" t="s">
        <v>167</v>
      </c>
    </row>
    <row r="74" spans="1:13" ht="57.6" x14ac:dyDescent="0.3">
      <c r="A74" s="6">
        <v>46374</v>
      </c>
      <c r="B74" s="3" t="s">
        <v>52</v>
      </c>
      <c r="C74" s="3" t="s">
        <v>94</v>
      </c>
      <c r="D74" s="3" t="s">
        <v>105</v>
      </c>
      <c r="E74" s="3" t="s">
        <v>166</v>
      </c>
      <c r="F74" s="3" t="s">
        <v>133</v>
      </c>
      <c r="G74" s="3" t="s">
        <v>134</v>
      </c>
      <c r="H74" s="3" t="s">
        <v>135</v>
      </c>
      <c r="I74" s="3" t="s">
        <v>106</v>
      </c>
      <c r="J74" s="3" t="s">
        <v>107</v>
      </c>
      <c r="K74" s="3" t="s">
        <v>108</v>
      </c>
      <c r="L74" s="3" t="s">
        <v>109</v>
      </c>
      <c r="M74" s="3" t="s">
        <v>167</v>
      </c>
    </row>
    <row r="75" spans="1:13" ht="57.6" x14ac:dyDescent="0.3">
      <c r="A75" s="6">
        <v>46375</v>
      </c>
      <c r="B75" s="3" t="s">
        <v>53</v>
      </c>
      <c r="C75" s="3" t="s">
        <v>94</v>
      </c>
      <c r="D75" s="3" t="s">
        <v>105</v>
      </c>
      <c r="E75" s="3" t="s">
        <v>166</v>
      </c>
      <c r="F75" s="3" t="s">
        <v>136</v>
      </c>
      <c r="G75" s="3" t="s">
        <v>137</v>
      </c>
      <c r="H75" s="3" t="s">
        <v>138</v>
      </c>
      <c r="I75" s="3" t="s">
        <v>106</v>
      </c>
      <c r="J75" s="3" t="s">
        <v>107</v>
      </c>
      <c r="K75" s="3" t="s">
        <v>108</v>
      </c>
      <c r="L75" s="3" t="s">
        <v>109</v>
      </c>
      <c r="M75" s="3" t="s">
        <v>167</v>
      </c>
    </row>
    <row r="76" spans="1:13" ht="57.6" x14ac:dyDescent="0.3">
      <c r="A76" s="6">
        <v>46376</v>
      </c>
      <c r="B76" s="3" t="s">
        <v>54</v>
      </c>
      <c r="C76" s="3" t="s">
        <v>94</v>
      </c>
      <c r="D76" s="3" t="s">
        <v>105</v>
      </c>
      <c r="E76" s="3" t="s">
        <v>166</v>
      </c>
      <c r="F76" s="3" t="s">
        <v>140</v>
      </c>
      <c r="G76" s="3" t="s">
        <v>141</v>
      </c>
      <c r="H76" s="3" t="s">
        <v>142</v>
      </c>
      <c r="I76" s="3" t="s">
        <v>106</v>
      </c>
      <c r="J76" s="3" t="s">
        <v>107</v>
      </c>
      <c r="K76" s="3" t="s">
        <v>108</v>
      </c>
      <c r="L76" s="3" t="s">
        <v>109</v>
      </c>
      <c r="M76" s="3" t="s">
        <v>167</v>
      </c>
    </row>
    <row r="77" spans="1:13" ht="57.6" x14ac:dyDescent="0.3">
      <c r="A77" s="6">
        <v>46377</v>
      </c>
      <c r="B77" s="3" t="s">
        <v>60</v>
      </c>
      <c r="C77" s="3" t="s">
        <v>94</v>
      </c>
      <c r="D77" s="3" t="s">
        <v>105</v>
      </c>
      <c r="E77" s="3" t="s">
        <v>166</v>
      </c>
      <c r="F77" s="3" t="s">
        <v>144</v>
      </c>
      <c r="G77" s="3" t="s">
        <v>145</v>
      </c>
      <c r="H77" s="3" t="s">
        <v>146</v>
      </c>
      <c r="I77" s="3" t="s">
        <v>106</v>
      </c>
      <c r="J77" s="3" t="s">
        <v>107</v>
      </c>
      <c r="K77" s="3" t="s">
        <v>108</v>
      </c>
      <c r="L77" s="3" t="s">
        <v>109</v>
      </c>
      <c r="M77" s="3" t="s">
        <v>167</v>
      </c>
    </row>
    <row r="78" spans="1:13" ht="57.6" x14ac:dyDescent="0.3">
      <c r="A78" s="6">
        <v>46378</v>
      </c>
      <c r="B78" s="3" t="s">
        <v>61</v>
      </c>
      <c r="C78" s="3" t="s">
        <v>94</v>
      </c>
      <c r="D78" s="3" t="s">
        <v>105</v>
      </c>
      <c r="E78" s="3" t="s">
        <v>166</v>
      </c>
      <c r="F78" s="3" t="s">
        <v>147</v>
      </c>
      <c r="G78" s="3" t="s">
        <v>148</v>
      </c>
      <c r="H78" s="3" t="s">
        <v>149</v>
      </c>
      <c r="I78" s="3" t="s">
        <v>106</v>
      </c>
      <c r="J78" s="3" t="s">
        <v>107</v>
      </c>
      <c r="K78" s="3" t="s">
        <v>108</v>
      </c>
      <c r="L78" s="3" t="s">
        <v>109</v>
      </c>
      <c r="M78" s="3" t="s">
        <v>167</v>
      </c>
    </row>
    <row r="79" spans="1:13" ht="57.6" x14ac:dyDescent="0.3">
      <c r="A79" s="6">
        <v>46379</v>
      </c>
      <c r="B79" s="3" t="s">
        <v>43</v>
      </c>
      <c r="C79" s="3" t="s">
        <v>94</v>
      </c>
      <c r="D79" s="3" t="s">
        <v>105</v>
      </c>
      <c r="E79" s="3" t="s">
        <v>166</v>
      </c>
      <c r="F79" s="3" t="s">
        <v>126</v>
      </c>
      <c r="G79" s="3" t="s">
        <v>127</v>
      </c>
      <c r="H79" s="3" t="s">
        <v>128</v>
      </c>
      <c r="I79" s="3" t="s">
        <v>106</v>
      </c>
      <c r="J79" s="3" t="s">
        <v>107</v>
      </c>
      <c r="K79" s="3" t="s">
        <v>108</v>
      </c>
      <c r="L79" s="3" t="s">
        <v>109</v>
      </c>
      <c r="M79" s="3" t="s">
        <v>167</v>
      </c>
    </row>
    <row r="80" spans="1:13" ht="57.6" x14ac:dyDescent="0.3">
      <c r="A80" s="6">
        <v>46380</v>
      </c>
      <c r="B80" s="3" t="s">
        <v>51</v>
      </c>
      <c r="C80" s="3" t="s">
        <v>94</v>
      </c>
      <c r="D80" s="3" t="s">
        <v>110</v>
      </c>
      <c r="E80" s="3" t="s">
        <v>168</v>
      </c>
      <c r="F80" s="3" t="s">
        <v>130</v>
      </c>
      <c r="G80" s="3" t="s">
        <v>131</v>
      </c>
      <c r="H80" s="3" t="s">
        <v>132</v>
      </c>
      <c r="I80" s="3" t="s">
        <v>111</v>
      </c>
      <c r="J80" s="3" t="s">
        <v>112</v>
      </c>
      <c r="K80" s="3" t="s">
        <v>113</v>
      </c>
      <c r="L80" s="3" t="s">
        <v>114</v>
      </c>
      <c r="M80" s="3" t="s">
        <v>169</v>
      </c>
    </row>
    <row r="81" spans="1:13" ht="57.6" x14ac:dyDescent="0.3">
      <c r="A81" s="6">
        <v>46381</v>
      </c>
      <c r="B81" s="3" t="s">
        <v>52</v>
      </c>
      <c r="C81" s="3" t="s">
        <v>94</v>
      </c>
      <c r="D81" s="3" t="s">
        <v>110</v>
      </c>
      <c r="E81" s="3" t="s">
        <v>168</v>
      </c>
      <c r="F81" s="3" t="s">
        <v>133</v>
      </c>
      <c r="G81" s="3" t="s">
        <v>134</v>
      </c>
      <c r="H81" s="3" t="s">
        <v>135</v>
      </c>
      <c r="I81" s="3" t="s">
        <v>111</v>
      </c>
      <c r="J81" s="3" t="s">
        <v>112</v>
      </c>
      <c r="K81" s="3" t="s">
        <v>113</v>
      </c>
      <c r="L81" s="3" t="s">
        <v>114</v>
      </c>
      <c r="M81" s="3" t="s">
        <v>169</v>
      </c>
    </row>
    <row r="82" spans="1:13" ht="57.6" x14ac:dyDescent="0.3">
      <c r="A82" s="6">
        <v>46382</v>
      </c>
      <c r="B82" s="3" t="s">
        <v>53</v>
      </c>
      <c r="C82" s="3" t="s">
        <v>94</v>
      </c>
      <c r="D82" s="3" t="s">
        <v>110</v>
      </c>
      <c r="E82" s="3" t="s">
        <v>168</v>
      </c>
      <c r="F82" s="3" t="s">
        <v>136</v>
      </c>
      <c r="G82" s="3" t="s">
        <v>137</v>
      </c>
      <c r="H82" s="3" t="s">
        <v>138</v>
      </c>
      <c r="I82" s="3" t="s">
        <v>111</v>
      </c>
      <c r="J82" s="3" t="s">
        <v>112</v>
      </c>
      <c r="K82" s="3" t="s">
        <v>113</v>
      </c>
      <c r="L82" s="3" t="s">
        <v>114</v>
      </c>
      <c r="M82" s="3" t="s">
        <v>169</v>
      </c>
    </row>
    <row r="83" spans="1:13" ht="57.6" x14ac:dyDescent="0.3">
      <c r="A83" s="6">
        <v>46383</v>
      </c>
      <c r="B83" s="3" t="s">
        <v>54</v>
      </c>
      <c r="C83" s="3" t="s">
        <v>94</v>
      </c>
      <c r="D83" s="3" t="s">
        <v>110</v>
      </c>
      <c r="E83" s="3" t="s">
        <v>168</v>
      </c>
      <c r="F83" s="3" t="s">
        <v>140</v>
      </c>
      <c r="G83" s="3" t="s">
        <v>141</v>
      </c>
      <c r="H83" s="3" t="s">
        <v>142</v>
      </c>
      <c r="I83" s="3" t="s">
        <v>111</v>
      </c>
      <c r="J83" s="3" t="s">
        <v>112</v>
      </c>
      <c r="K83" s="3" t="s">
        <v>113</v>
      </c>
      <c r="L83" s="3" t="s">
        <v>114</v>
      </c>
      <c r="M83" s="3" t="s">
        <v>169</v>
      </c>
    </row>
    <row r="84" spans="1:13" ht="57.6" x14ac:dyDescent="0.3">
      <c r="A84" s="6">
        <v>46384</v>
      </c>
      <c r="B84" s="3" t="s">
        <v>60</v>
      </c>
      <c r="C84" s="3" t="s">
        <v>94</v>
      </c>
      <c r="D84" s="3" t="s">
        <v>110</v>
      </c>
      <c r="E84" s="3" t="s">
        <v>168</v>
      </c>
      <c r="F84" s="3" t="s">
        <v>144</v>
      </c>
      <c r="G84" s="3" t="s">
        <v>145</v>
      </c>
      <c r="H84" s="3" t="s">
        <v>146</v>
      </c>
      <c r="I84" s="3" t="s">
        <v>111</v>
      </c>
      <c r="J84" s="3" t="s">
        <v>112</v>
      </c>
      <c r="K84" s="3" t="s">
        <v>113</v>
      </c>
      <c r="L84" s="3" t="s">
        <v>114</v>
      </c>
      <c r="M84" s="3" t="s">
        <v>169</v>
      </c>
    </row>
    <row r="85" spans="1:13" ht="57.6" x14ac:dyDescent="0.3">
      <c r="A85" s="6">
        <v>46385</v>
      </c>
      <c r="B85" s="3" t="s">
        <v>61</v>
      </c>
      <c r="C85" s="3" t="s">
        <v>94</v>
      </c>
      <c r="D85" s="3" t="s">
        <v>110</v>
      </c>
      <c r="E85" s="3" t="s">
        <v>168</v>
      </c>
      <c r="F85" s="3" t="s">
        <v>147</v>
      </c>
      <c r="G85" s="3" t="s">
        <v>148</v>
      </c>
      <c r="H85" s="3" t="s">
        <v>149</v>
      </c>
      <c r="I85" s="3" t="s">
        <v>111</v>
      </c>
      <c r="J85" s="3" t="s">
        <v>112</v>
      </c>
      <c r="K85" s="3" t="s">
        <v>113</v>
      </c>
      <c r="L85" s="3" t="s">
        <v>114</v>
      </c>
      <c r="M85" s="3" t="s">
        <v>169</v>
      </c>
    </row>
    <row r="86" spans="1:13" ht="57.6" x14ac:dyDescent="0.3">
      <c r="A86" s="6">
        <v>46386</v>
      </c>
      <c r="B86" s="3" t="s">
        <v>43</v>
      </c>
      <c r="C86" s="3" t="s">
        <v>94</v>
      </c>
      <c r="D86" s="3" t="s">
        <v>110</v>
      </c>
      <c r="E86" s="3" t="s">
        <v>168</v>
      </c>
      <c r="F86" s="3" t="s">
        <v>126</v>
      </c>
      <c r="G86" s="3" t="s">
        <v>127</v>
      </c>
      <c r="H86" s="3" t="s">
        <v>128</v>
      </c>
      <c r="I86" s="3" t="s">
        <v>111</v>
      </c>
      <c r="J86" s="3" t="s">
        <v>112</v>
      </c>
      <c r="K86" s="3" t="s">
        <v>113</v>
      </c>
      <c r="L86" s="3" t="s">
        <v>114</v>
      </c>
      <c r="M86" s="3" t="s">
        <v>169</v>
      </c>
    </row>
    <row r="87" spans="1:13" ht="57.6" x14ac:dyDescent="0.3">
      <c r="A87" s="6">
        <v>46387</v>
      </c>
      <c r="B87" s="3" t="s">
        <v>51</v>
      </c>
      <c r="C87" s="3" t="s">
        <v>94</v>
      </c>
      <c r="D87" s="3" t="s">
        <v>110</v>
      </c>
      <c r="E87" s="3" t="s">
        <v>168</v>
      </c>
      <c r="F87" s="3" t="s">
        <v>130</v>
      </c>
      <c r="G87" s="3" t="s">
        <v>131</v>
      </c>
      <c r="H87" s="3" t="s">
        <v>132</v>
      </c>
      <c r="I87" s="3" t="s">
        <v>111</v>
      </c>
      <c r="J87" s="3" t="s">
        <v>112</v>
      </c>
      <c r="K87" s="3" t="s">
        <v>113</v>
      </c>
      <c r="L87" s="3" t="s">
        <v>114</v>
      </c>
      <c r="M87" s="3" t="s">
        <v>169</v>
      </c>
    </row>
  </sheetData>
  <autoFilter ref="A1:M8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showGridLines="0"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18" customWidth="1"/>
    <col min="2" max="2" width="42" customWidth="1"/>
    <col min="3" max="3" width="18" customWidth="1"/>
    <col min="4" max="4" width="45" customWidth="1"/>
  </cols>
  <sheetData>
    <row r="1" spans="1:4" ht="37.950000000000003" customHeight="1" x14ac:dyDescent="0.3">
      <c r="A1" s="1" t="s">
        <v>170</v>
      </c>
      <c r="B1" s="1" t="s">
        <v>171</v>
      </c>
      <c r="C1" s="1" t="s">
        <v>172</v>
      </c>
      <c r="D1" s="1" t="s">
        <v>173</v>
      </c>
    </row>
    <row r="2" spans="1:4" x14ac:dyDescent="0.3">
      <c r="A2" s="3" t="s">
        <v>174</v>
      </c>
      <c r="B2" s="3" t="s">
        <v>175</v>
      </c>
      <c r="C2" s="3" t="s">
        <v>176</v>
      </c>
      <c r="D2" s="3" t="s">
        <v>177</v>
      </c>
    </row>
    <row r="3" spans="1:4" x14ac:dyDescent="0.3">
      <c r="A3" s="3" t="s">
        <v>178</v>
      </c>
      <c r="B3" s="3" t="s">
        <v>179</v>
      </c>
      <c r="C3" s="3" t="s">
        <v>176</v>
      </c>
      <c r="D3" s="3" t="s">
        <v>180</v>
      </c>
    </row>
    <row r="4" spans="1:4" x14ac:dyDescent="0.3">
      <c r="A4" s="3" t="s">
        <v>181</v>
      </c>
      <c r="B4" s="3" t="s">
        <v>24</v>
      </c>
      <c r="C4" s="3" t="s">
        <v>176</v>
      </c>
      <c r="D4" s="3" t="s">
        <v>182</v>
      </c>
    </row>
    <row r="5" spans="1:4" x14ac:dyDescent="0.3">
      <c r="A5" s="3" t="s">
        <v>183</v>
      </c>
      <c r="B5" s="3" t="s">
        <v>184</v>
      </c>
      <c r="C5" s="3" t="s">
        <v>176</v>
      </c>
      <c r="D5" s="3" t="s">
        <v>185</v>
      </c>
    </row>
    <row r="6" spans="1:4" x14ac:dyDescent="0.3">
      <c r="A6" s="3" t="s">
        <v>186</v>
      </c>
      <c r="B6" s="3" t="s">
        <v>187</v>
      </c>
      <c r="C6" s="3" t="s">
        <v>188</v>
      </c>
      <c r="D6" s="3" t="s">
        <v>189</v>
      </c>
    </row>
    <row r="7" spans="1:4" x14ac:dyDescent="0.3">
      <c r="A7" s="3" t="s">
        <v>190</v>
      </c>
      <c r="B7" s="3" t="s">
        <v>191</v>
      </c>
      <c r="C7" s="3" t="s">
        <v>192</v>
      </c>
      <c r="D7" s="3" t="s">
        <v>193</v>
      </c>
    </row>
    <row r="8" spans="1:4" x14ac:dyDescent="0.3">
      <c r="A8" s="3" t="s">
        <v>194</v>
      </c>
      <c r="B8" s="3" t="s">
        <v>195</v>
      </c>
      <c r="C8" s="3" t="s">
        <v>196</v>
      </c>
      <c r="D8" s="3" t="s">
        <v>197</v>
      </c>
    </row>
    <row r="9" spans="1:4" x14ac:dyDescent="0.3">
      <c r="A9" s="3" t="s">
        <v>198</v>
      </c>
      <c r="B9" s="3" t="s">
        <v>199</v>
      </c>
      <c r="C9" s="3" t="s">
        <v>192</v>
      </c>
      <c r="D9" s="3" t="s">
        <v>200</v>
      </c>
    </row>
    <row r="10" spans="1:4" x14ac:dyDescent="0.3">
      <c r="A10" s="3" t="s">
        <v>201</v>
      </c>
      <c r="B10" s="3" t="s">
        <v>187</v>
      </c>
      <c r="C10" s="3" t="s">
        <v>202</v>
      </c>
      <c r="D10" s="3" t="s">
        <v>197</v>
      </c>
    </row>
    <row r="11" spans="1:4" x14ac:dyDescent="0.3">
      <c r="A11" s="3" t="s">
        <v>203</v>
      </c>
      <c r="B11" s="3" t="s">
        <v>204</v>
      </c>
      <c r="C11" s="3" t="s">
        <v>192</v>
      </c>
      <c r="D11" s="3" t="s">
        <v>205</v>
      </c>
    </row>
    <row r="12" spans="1:4" x14ac:dyDescent="0.3">
      <c r="A12" s="3" t="s">
        <v>206</v>
      </c>
      <c r="B12" s="3" t="s">
        <v>207</v>
      </c>
      <c r="C12" s="3" t="s">
        <v>176</v>
      </c>
      <c r="D12" s="3" t="s">
        <v>208</v>
      </c>
    </row>
    <row r="13" spans="1:4" x14ac:dyDescent="0.3">
      <c r="A13" s="3" t="s">
        <v>209</v>
      </c>
      <c r="B13" s="3" t="s">
        <v>210</v>
      </c>
      <c r="C13" s="3" t="s">
        <v>192</v>
      </c>
      <c r="D13" s="3" t="s">
        <v>211</v>
      </c>
    </row>
    <row r="14" spans="1:4" x14ac:dyDescent="0.3">
      <c r="A14" s="3" t="s">
        <v>212</v>
      </c>
      <c r="B14" s="3" t="s">
        <v>213</v>
      </c>
      <c r="C14" s="3" t="s">
        <v>196</v>
      </c>
      <c r="D14" s="3" t="s">
        <v>197</v>
      </c>
    </row>
    <row r="15" spans="1:4" x14ac:dyDescent="0.3">
      <c r="A15" s="3" t="s">
        <v>214</v>
      </c>
      <c r="B15" s="3" t="s">
        <v>33</v>
      </c>
      <c r="C15" s="3" t="s">
        <v>188</v>
      </c>
      <c r="D15" s="3" t="s">
        <v>215</v>
      </c>
    </row>
    <row r="16" spans="1:4" x14ac:dyDescent="0.3">
      <c r="A16" s="3" t="s">
        <v>216</v>
      </c>
      <c r="B16" s="3" t="s">
        <v>217</v>
      </c>
      <c r="C16" s="3" t="s">
        <v>196</v>
      </c>
      <c r="D16" s="3" t="s">
        <v>218</v>
      </c>
    </row>
    <row r="17" spans="1:4" x14ac:dyDescent="0.3">
      <c r="A17" s="3" t="s">
        <v>219</v>
      </c>
      <c r="B17" s="3" t="s">
        <v>220</v>
      </c>
      <c r="C17" s="3" t="s">
        <v>221</v>
      </c>
      <c r="D17" s="3" t="s">
        <v>222</v>
      </c>
    </row>
  </sheetData>
  <autoFilter ref="A1:D1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showGridLines="0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7" width="18" customWidth="1"/>
  </cols>
  <sheetData>
    <row r="1" spans="1:7" ht="37.950000000000003" customHeight="1" x14ac:dyDescent="0.3">
      <c r="A1" s="1" t="s">
        <v>223</v>
      </c>
      <c r="B1" s="1" t="s">
        <v>224</v>
      </c>
      <c r="C1" s="1" t="s">
        <v>225</v>
      </c>
      <c r="D1" s="1" t="s">
        <v>42</v>
      </c>
      <c r="E1" s="1" t="s">
        <v>6</v>
      </c>
      <c r="F1" s="1" t="s">
        <v>226</v>
      </c>
      <c r="G1" s="1" t="s">
        <v>227</v>
      </c>
    </row>
    <row r="2" spans="1:7" ht="57.6" x14ac:dyDescent="0.3">
      <c r="A2" s="3" t="s">
        <v>228</v>
      </c>
      <c r="B2" s="3" t="s">
        <v>229</v>
      </c>
      <c r="C2" s="3" t="s">
        <v>230</v>
      </c>
      <c r="D2" s="3" t="s">
        <v>46</v>
      </c>
      <c r="E2" s="3">
        <v>0</v>
      </c>
      <c r="F2" s="7">
        <v>46326</v>
      </c>
      <c r="G2" s="3" t="s">
        <v>231</v>
      </c>
    </row>
    <row r="3" spans="1:7" ht="72" x14ac:dyDescent="0.3">
      <c r="A3" s="3" t="s">
        <v>232</v>
      </c>
      <c r="B3" s="3" t="s">
        <v>233</v>
      </c>
      <c r="C3" s="3" t="s">
        <v>234</v>
      </c>
      <c r="D3" s="3" t="s">
        <v>46</v>
      </c>
      <c r="E3" s="3">
        <v>0</v>
      </c>
      <c r="F3" s="7">
        <v>46356</v>
      </c>
      <c r="G3" s="3" t="s">
        <v>235</v>
      </c>
    </row>
    <row r="4" spans="1:7" ht="57.6" x14ac:dyDescent="0.3">
      <c r="A4" s="3" t="s">
        <v>236</v>
      </c>
      <c r="B4" s="3" t="s">
        <v>237</v>
      </c>
      <c r="C4" s="3" t="s">
        <v>238</v>
      </c>
      <c r="D4" s="3" t="s">
        <v>46</v>
      </c>
      <c r="E4" s="3">
        <v>0</v>
      </c>
      <c r="F4" s="7">
        <v>46387</v>
      </c>
      <c r="G4" s="3" t="s">
        <v>239</v>
      </c>
    </row>
  </sheetData>
  <autoFilter ref="A1:G4" xr:uid="{00000000-0009-0000-0000-000004000000}"/>
  <dataValidations count="1">
    <dataValidation type="list" allowBlank="1" sqref="D2:D4" xr:uid="{00000000-0002-0000-0400-000000000000}">
      <formula1>"Not Started,In Progress,Completed,Skipped"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showGridLines="0"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9" width="18" customWidth="1"/>
  </cols>
  <sheetData>
    <row r="1" spans="1:9" ht="37.950000000000003" customHeight="1" x14ac:dyDescent="0.3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29</v>
      </c>
      <c r="F1" s="1" t="s">
        <v>244</v>
      </c>
      <c r="G1" s="1" t="s">
        <v>245</v>
      </c>
      <c r="H1" s="1" t="s">
        <v>246</v>
      </c>
      <c r="I1" s="1" t="s">
        <v>247</v>
      </c>
    </row>
    <row r="2" spans="1:9" x14ac:dyDescent="0.3">
      <c r="A2" s="3" t="s">
        <v>248</v>
      </c>
      <c r="B2" s="3" t="s">
        <v>3</v>
      </c>
      <c r="C2" s="3" t="s">
        <v>78</v>
      </c>
      <c r="D2" s="3" t="s">
        <v>46</v>
      </c>
      <c r="E2" s="3">
        <v>0</v>
      </c>
      <c r="F2" s="3" t="s">
        <v>46</v>
      </c>
      <c r="G2" s="3" t="s">
        <v>46</v>
      </c>
      <c r="H2" s="3" t="s">
        <v>46</v>
      </c>
      <c r="I2" s="3">
        <v>0</v>
      </c>
    </row>
    <row r="3" spans="1:9" x14ac:dyDescent="0.3">
      <c r="A3" s="3" t="s">
        <v>249</v>
      </c>
      <c r="B3" s="3" t="s">
        <v>3</v>
      </c>
      <c r="C3" s="3" t="s">
        <v>78</v>
      </c>
      <c r="D3" s="3" t="s">
        <v>46</v>
      </c>
      <c r="E3" s="3">
        <v>0</v>
      </c>
      <c r="F3" s="3" t="s">
        <v>46</v>
      </c>
      <c r="G3" s="3" t="s">
        <v>46</v>
      </c>
      <c r="H3" s="3" t="s">
        <v>46</v>
      </c>
      <c r="I3" s="3">
        <v>0</v>
      </c>
    </row>
    <row r="4" spans="1:9" x14ac:dyDescent="0.3">
      <c r="A4" s="3" t="s">
        <v>250</v>
      </c>
      <c r="B4" s="3" t="s">
        <v>3</v>
      </c>
      <c r="C4" s="3" t="s">
        <v>78</v>
      </c>
      <c r="D4" s="3" t="s">
        <v>46</v>
      </c>
      <c r="E4" s="3">
        <v>0</v>
      </c>
      <c r="F4" s="3" t="s">
        <v>46</v>
      </c>
      <c r="G4" s="3" t="s">
        <v>46</v>
      </c>
      <c r="H4" s="3" t="s">
        <v>46</v>
      </c>
      <c r="I4" s="3">
        <v>0</v>
      </c>
    </row>
    <row r="5" spans="1:9" x14ac:dyDescent="0.3">
      <c r="A5" s="3" t="s">
        <v>251</v>
      </c>
      <c r="B5" s="3" t="s">
        <v>3</v>
      </c>
      <c r="C5" s="3" t="s">
        <v>78</v>
      </c>
      <c r="D5" s="3" t="s">
        <v>46</v>
      </c>
      <c r="E5" s="3">
        <v>0</v>
      </c>
      <c r="F5" s="3" t="s">
        <v>46</v>
      </c>
      <c r="G5" s="3" t="s">
        <v>46</v>
      </c>
      <c r="H5" s="3" t="s">
        <v>46</v>
      </c>
      <c r="I5" s="3">
        <v>0</v>
      </c>
    </row>
    <row r="6" spans="1:9" x14ac:dyDescent="0.3">
      <c r="A6" s="3" t="s">
        <v>252</v>
      </c>
      <c r="B6" s="3" t="s">
        <v>3</v>
      </c>
      <c r="C6" s="3" t="s">
        <v>46</v>
      </c>
      <c r="D6" s="3" t="s">
        <v>46</v>
      </c>
      <c r="E6" s="3">
        <v>0</v>
      </c>
      <c r="F6" s="3" t="s">
        <v>46</v>
      </c>
      <c r="G6" s="3" t="s">
        <v>46</v>
      </c>
      <c r="H6" s="3" t="s">
        <v>46</v>
      </c>
      <c r="I6" s="3">
        <v>0</v>
      </c>
    </row>
    <row r="7" spans="1:9" x14ac:dyDescent="0.3">
      <c r="A7" s="3" t="s">
        <v>253</v>
      </c>
      <c r="B7" s="3" t="s">
        <v>3</v>
      </c>
      <c r="C7" s="3" t="s">
        <v>46</v>
      </c>
      <c r="D7" s="3" t="s">
        <v>46</v>
      </c>
      <c r="E7" s="3">
        <v>0</v>
      </c>
      <c r="F7" s="3" t="s">
        <v>46</v>
      </c>
      <c r="G7" s="3" t="s">
        <v>46</v>
      </c>
      <c r="H7" s="3" t="s">
        <v>46</v>
      </c>
      <c r="I7" s="3">
        <v>0</v>
      </c>
    </row>
    <row r="8" spans="1:9" x14ac:dyDescent="0.3">
      <c r="A8" s="3" t="s">
        <v>254</v>
      </c>
      <c r="B8" s="3" t="s">
        <v>46</v>
      </c>
      <c r="C8" s="3" t="s">
        <v>46</v>
      </c>
      <c r="D8" s="3" t="s">
        <v>46</v>
      </c>
      <c r="E8" s="3">
        <v>0</v>
      </c>
      <c r="F8" s="3" t="s">
        <v>46</v>
      </c>
      <c r="G8" s="3" t="s">
        <v>46</v>
      </c>
      <c r="H8" s="3" t="s">
        <v>46</v>
      </c>
      <c r="I8" s="3">
        <v>0</v>
      </c>
    </row>
    <row r="9" spans="1:9" x14ac:dyDescent="0.3">
      <c r="A9" s="3" t="s">
        <v>255</v>
      </c>
      <c r="B9" s="3" t="s">
        <v>46</v>
      </c>
      <c r="C9" s="3" t="s">
        <v>46</v>
      </c>
      <c r="D9" s="3" t="s">
        <v>46</v>
      </c>
      <c r="E9" s="3">
        <v>0</v>
      </c>
      <c r="F9" s="3" t="s">
        <v>46</v>
      </c>
      <c r="G9" s="3" t="s">
        <v>46</v>
      </c>
      <c r="H9" s="3" t="s">
        <v>46</v>
      </c>
      <c r="I9" s="3">
        <v>0</v>
      </c>
    </row>
    <row r="10" spans="1:9" x14ac:dyDescent="0.3">
      <c r="A10" s="3" t="s">
        <v>256</v>
      </c>
      <c r="B10" s="3" t="s">
        <v>46</v>
      </c>
      <c r="C10" s="3" t="s">
        <v>46</v>
      </c>
      <c r="D10" s="3" t="s">
        <v>46</v>
      </c>
      <c r="E10" s="3">
        <v>0</v>
      </c>
      <c r="F10" s="3" t="s">
        <v>46</v>
      </c>
      <c r="G10" s="3" t="s">
        <v>46</v>
      </c>
      <c r="H10" s="3" t="s">
        <v>46</v>
      </c>
      <c r="I10" s="3">
        <v>0</v>
      </c>
    </row>
    <row r="11" spans="1:9" x14ac:dyDescent="0.3">
      <c r="A11" s="3" t="s">
        <v>257</v>
      </c>
      <c r="B11" s="3" t="s">
        <v>46</v>
      </c>
      <c r="C11" s="3" t="s">
        <v>46</v>
      </c>
      <c r="D11" s="3" t="s">
        <v>46</v>
      </c>
      <c r="E11" s="3">
        <v>0</v>
      </c>
      <c r="F11" s="3" t="s">
        <v>46</v>
      </c>
      <c r="G11" s="3" t="s">
        <v>46</v>
      </c>
      <c r="H11" s="3" t="s">
        <v>46</v>
      </c>
      <c r="I11" s="3">
        <v>0</v>
      </c>
    </row>
    <row r="12" spans="1:9" x14ac:dyDescent="0.3">
      <c r="A12" s="3" t="s">
        <v>258</v>
      </c>
      <c r="B12" s="3" t="s">
        <v>46</v>
      </c>
      <c r="C12" s="3" t="s">
        <v>46</v>
      </c>
      <c r="D12" s="3" t="s">
        <v>46</v>
      </c>
      <c r="E12" s="3">
        <v>0</v>
      </c>
      <c r="F12" s="3" t="s">
        <v>46</v>
      </c>
      <c r="G12" s="3" t="s">
        <v>46</v>
      </c>
      <c r="H12" s="3" t="s">
        <v>46</v>
      </c>
      <c r="I12" s="3">
        <v>0</v>
      </c>
    </row>
    <row r="13" spans="1:9" x14ac:dyDescent="0.3">
      <c r="A13" s="3" t="s">
        <v>259</v>
      </c>
      <c r="B13" s="3" t="s">
        <v>46</v>
      </c>
      <c r="C13" s="3" t="s">
        <v>46</v>
      </c>
      <c r="D13" s="3" t="s">
        <v>46</v>
      </c>
      <c r="E13" s="3">
        <v>0</v>
      </c>
      <c r="F13" s="3" t="s">
        <v>46</v>
      </c>
      <c r="G13" s="3" t="s">
        <v>46</v>
      </c>
      <c r="H13" s="3" t="s">
        <v>46</v>
      </c>
      <c r="I13" s="3">
        <v>0</v>
      </c>
    </row>
    <row r="14" spans="1:9" x14ac:dyDescent="0.3">
      <c r="A14" s="3" t="s">
        <v>260</v>
      </c>
      <c r="B14" s="3" t="s">
        <v>46</v>
      </c>
      <c r="C14" s="3" t="s">
        <v>46</v>
      </c>
      <c r="D14" s="3" t="s">
        <v>46</v>
      </c>
      <c r="E14" s="3">
        <v>0</v>
      </c>
      <c r="F14" s="3" t="s">
        <v>46</v>
      </c>
      <c r="G14" s="3" t="s">
        <v>46</v>
      </c>
      <c r="H14" s="3" t="s">
        <v>46</v>
      </c>
      <c r="I14" s="3">
        <v>0</v>
      </c>
    </row>
    <row r="15" spans="1:9" x14ac:dyDescent="0.3">
      <c r="A15" s="3" t="s">
        <v>261</v>
      </c>
      <c r="B15" s="3" t="s">
        <v>46</v>
      </c>
      <c r="C15" s="3" t="s">
        <v>46</v>
      </c>
      <c r="D15" s="3" t="s">
        <v>46</v>
      </c>
      <c r="E15" s="3">
        <v>0</v>
      </c>
      <c r="F15" s="3" t="s">
        <v>46</v>
      </c>
      <c r="G15" s="3" t="s">
        <v>46</v>
      </c>
      <c r="H15" s="3" t="s">
        <v>46</v>
      </c>
      <c r="I15" s="3">
        <v>0</v>
      </c>
    </row>
    <row r="16" spans="1:9" x14ac:dyDescent="0.3">
      <c r="A16" s="3" t="s">
        <v>262</v>
      </c>
      <c r="B16" s="3" t="s">
        <v>46</v>
      </c>
      <c r="C16" s="3" t="s">
        <v>46</v>
      </c>
      <c r="D16" s="3" t="s">
        <v>46</v>
      </c>
      <c r="E16" s="3">
        <v>0</v>
      </c>
      <c r="F16" s="3" t="s">
        <v>46</v>
      </c>
      <c r="G16" s="3" t="s">
        <v>46</v>
      </c>
      <c r="H16" s="3" t="s">
        <v>46</v>
      </c>
      <c r="I16" s="3">
        <v>0</v>
      </c>
    </row>
    <row r="17" spans="1:9" x14ac:dyDescent="0.3">
      <c r="A17" s="3" t="s">
        <v>263</v>
      </c>
      <c r="B17" s="3" t="s">
        <v>46</v>
      </c>
      <c r="C17" s="3" t="s">
        <v>46</v>
      </c>
      <c r="D17" s="3" t="s">
        <v>46</v>
      </c>
      <c r="E17" s="3">
        <v>0</v>
      </c>
      <c r="F17" s="3" t="s">
        <v>46</v>
      </c>
      <c r="G17" s="3" t="s">
        <v>46</v>
      </c>
      <c r="H17" s="3" t="s">
        <v>46</v>
      </c>
      <c r="I17" s="3">
        <v>0</v>
      </c>
    </row>
  </sheetData>
  <autoFilter ref="A1:I17" xr:uid="{00000000-0009-0000-0000-000005000000}"/>
  <dataValidations count="1">
    <dataValidation type="list" allowBlank="1" sqref="B2:D17 F2:H17" xr:uid="{00000000-0002-0000-0500-000000000000}">
      <formula1>"Not Started,In Progress,Completed,Skipped"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showGridLines="0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50" customWidth="1"/>
    <col min="2" max="5" width="18" customWidth="1"/>
  </cols>
  <sheetData>
    <row r="1" spans="1:5" ht="37.950000000000003" customHeight="1" x14ac:dyDescent="0.3">
      <c r="A1" s="1" t="s">
        <v>264</v>
      </c>
      <c r="B1" s="1" t="s">
        <v>265</v>
      </c>
      <c r="C1" s="1" t="s">
        <v>266</v>
      </c>
      <c r="D1" s="1" t="s">
        <v>267</v>
      </c>
      <c r="E1" s="1" t="s">
        <v>268</v>
      </c>
    </row>
    <row r="2" spans="1:5" x14ac:dyDescent="0.3">
      <c r="A2" s="3" t="s">
        <v>269</v>
      </c>
      <c r="B2" s="3" t="s">
        <v>46</v>
      </c>
      <c r="C2" s="3" t="s">
        <v>46</v>
      </c>
      <c r="D2" s="3">
        <v>0</v>
      </c>
      <c r="E2" s="3">
        <v>0</v>
      </c>
    </row>
    <row r="3" spans="1:5" x14ac:dyDescent="0.3">
      <c r="A3" s="3" t="s">
        <v>270</v>
      </c>
      <c r="B3" s="3" t="s">
        <v>46</v>
      </c>
      <c r="C3" s="3" t="s">
        <v>46</v>
      </c>
      <c r="D3" s="3">
        <v>0</v>
      </c>
      <c r="E3" s="3">
        <v>0</v>
      </c>
    </row>
    <row r="4" spans="1:5" x14ac:dyDescent="0.3">
      <c r="A4" s="3" t="s">
        <v>271</v>
      </c>
      <c r="B4" s="3" t="s">
        <v>46</v>
      </c>
      <c r="C4" s="3" t="s">
        <v>46</v>
      </c>
      <c r="D4" s="3">
        <v>0</v>
      </c>
      <c r="E4" s="3">
        <v>0</v>
      </c>
    </row>
    <row r="5" spans="1:5" x14ac:dyDescent="0.3">
      <c r="A5" s="3" t="s">
        <v>272</v>
      </c>
      <c r="B5" s="3" t="s">
        <v>46</v>
      </c>
      <c r="C5" s="3" t="s">
        <v>46</v>
      </c>
      <c r="D5" s="3">
        <v>0</v>
      </c>
      <c r="E5" s="3">
        <v>0</v>
      </c>
    </row>
    <row r="6" spans="1:5" x14ac:dyDescent="0.3">
      <c r="A6" s="3" t="s">
        <v>273</v>
      </c>
      <c r="B6" s="3" t="s">
        <v>46</v>
      </c>
      <c r="C6" s="3" t="s">
        <v>46</v>
      </c>
      <c r="D6" s="3">
        <v>0</v>
      </c>
      <c r="E6" s="3">
        <v>0</v>
      </c>
    </row>
    <row r="7" spans="1:5" x14ac:dyDescent="0.3">
      <c r="A7" s="3" t="s">
        <v>274</v>
      </c>
      <c r="B7" s="3" t="s">
        <v>46</v>
      </c>
      <c r="C7" s="3" t="s">
        <v>46</v>
      </c>
      <c r="D7" s="3">
        <v>0</v>
      </c>
      <c r="E7" s="3">
        <v>0</v>
      </c>
    </row>
    <row r="8" spans="1:5" x14ac:dyDescent="0.3">
      <c r="A8" s="3" t="s">
        <v>275</v>
      </c>
      <c r="B8" s="3" t="s">
        <v>46</v>
      </c>
      <c r="C8" s="3" t="s">
        <v>46</v>
      </c>
      <c r="D8" s="3">
        <v>0</v>
      </c>
      <c r="E8" s="3">
        <v>0</v>
      </c>
    </row>
    <row r="9" spans="1:5" x14ac:dyDescent="0.3">
      <c r="A9" s="3" t="s">
        <v>276</v>
      </c>
      <c r="B9" s="3" t="s">
        <v>46</v>
      </c>
      <c r="C9" s="3" t="s">
        <v>46</v>
      </c>
      <c r="D9" s="3">
        <v>0</v>
      </c>
      <c r="E9" s="3">
        <v>0</v>
      </c>
    </row>
    <row r="10" spans="1:5" x14ac:dyDescent="0.3">
      <c r="A10" s="3" t="s">
        <v>277</v>
      </c>
      <c r="B10" s="3" t="s">
        <v>46</v>
      </c>
      <c r="C10" s="3" t="s">
        <v>46</v>
      </c>
      <c r="D10" s="3">
        <v>0</v>
      </c>
      <c r="E10" s="3">
        <v>0</v>
      </c>
    </row>
    <row r="11" spans="1:5" x14ac:dyDescent="0.3">
      <c r="A11" s="3" t="s">
        <v>278</v>
      </c>
      <c r="B11" s="3" t="s">
        <v>46</v>
      </c>
      <c r="C11" s="3" t="s">
        <v>46</v>
      </c>
      <c r="D11" s="3">
        <v>0</v>
      </c>
      <c r="E11" s="3">
        <v>0</v>
      </c>
    </row>
    <row r="12" spans="1:5" x14ac:dyDescent="0.3">
      <c r="A12" s="3" t="s">
        <v>279</v>
      </c>
      <c r="B12" s="3" t="s">
        <v>46</v>
      </c>
      <c r="C12" s="3" t="s">
        <v>46</v>
      </c>
      <c r="D12" s="3">
        <v>0</v>
      </c>
      <c r="E12" s="3">
        <v>0</v>
      </c>
    </row>
    <row r="13" spans="1:5" ht="28.8" x14ac:dyDescent="0.3">
      <c r="A13" s="3" t="s">
        <v>280</v>
      </c>
      <c r="B13" s="3" t="s">
        <v>46</v>
      </c>
      <c r="C13" s="3" t="s">
        <v>46</v>
      </c>
      <c r="D13" s="3">
        <v>0</v>
      </c>
      <c r="E13" s="3">
        <v>0</v>
      </c>
    </row>
  </sheetData>
  <autoFilter ref="A1:E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4" customWidth="1"/>
    <col min="2" max="2" width="18" customWidth="1"/>
    <col min="3" max="3" width="35" customWidth="1"/>
    <col min="4" max="15" width="18" customWidth="1"/>
  </cols>
  <sheetData>
    <row r="1" spans="1:15" ht="37.950000000000003" customHeight="1" x14ac:dyDescent="0.3">
      <c r="A1" s="1" t="s">
        <v>281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42</v>
      </c>
    </row>
    <row r="2" spans="1:15" ht="43.2" x14ac:dyDescent="0.3">
      <c r="A2" s="3" t="s">
        <v>295</v>
      </c>
      <c r="B2" s="3" t="s">
        <v>296</v>
      </c>
      <c r="C2" s="3" t="s">
        <v>297</v>
      </c>
      <c r="D2" s="3" t="s">
        <v>298</v>
      </c>
      <c r="E2" s="3"/>
      <c r="F2" s="3" t="s">
        <v>299</v>
      </c>
      <c r="G2" s="3" t="s">
        <v>300</v>
      </c>
      <c r="H2" s="3" t="s">
        <v>256</v>
      </c>
      <c r="I2" s="3"/>
      <c r="J2" s="3" t="s">
        <v>301</v>
      </c>
      <c r="K2" s="3"/>
      <c r="L2" s="3"/>
      <c r="M2" s="3" t="s">
        <v>46</v>
      </c>
      <c r="N2" s="3" t="s">
        <v>46</v>
      </c>
      <c r="O2" s="3" t="s">
        <v>46</v>
      </c>
    </row>
    <row r="3" spans="1:15" ht="43.2" x14ac:dyDescent="0.3">
      <c r="A3" s="3" t="s">
        <v>302</v>
      </c>
      <c r="B3" s="3" t="s">
        <v>303</v>
      </c>
      <c r="C3" s="3" t="s">
        <v>304</v>
      </c>
      <c r="D3" s="3" t="s">
        <v>305</v>
      </c>
      <c r="E3" s="3"/>
      <c r="F3" s="3" t="s">
        <v>306</v>
      </c>
      <c r="G3" s="3" t="s">
        <v>307</v>
      </c>
      <c r="H3" s="3" t="s">
        <v>258</v>
      </c>
      <c r="I3" s="3"/>
      <c r="J3" s="3" t="s">
        <v>308</v>
      </c>
      <c r="K3" s="3"/>
      <c r="L3" s="3"/>
      <c r="M3" s="3" t="s">
        <v>46</v>
      </c>
      <c r="N3" s="3" t="s">
        <v>46</v>
      </c>
      <c r="O3" s="3" t="s">
        <v>46</v>
      </c>
    </row>
    <row r="4" spans="1:15" ht="28.8" x14ac:dyDescent="0.3">
      <c r="A4" s="3" t="s">
        <v>309</v>
      </c>
      <c r="B4" s="3" t="s">
        <v>310</v>
      </c>
      <c r="C4" s="3" t="s">
        <v>311</v>
      </c>
      <c r="D4" s="3" t="s">
        <v>312</v>
      </c>
      <c r="E4" s="3"/>
      <c r="F4" s="3" t="s">
        <v>313</v>
      </c>
      <c r="G4" s="3" t="s">
        <v>314</v>
      </c>
      <c r="H4" s="3" t="s">
        <v>315</v>
      </c>
      <c r="I4" s="3"/>
      <c r="J4" s="3" t="s">
        <v>316</v>
      </c>
      <c r="K4" s="3"/>
      <c r="L4" s="3"/>
      <c r="M4" s="3" t="s">
        <v>46</v>
      </c>
      <c r="N4" s="3" t="s">
        <v>46</v>
      </c>
      <c r="O4" s="3" t="s">
        <v>46</v>
      </c>
    </row>
  </sheetData>
  <autoFilter ref="A1:O4" xr:uid="{00000000-0009-0000-0000-000007000000}"/>
  <dataValidations count="1">
    <dataValidation type="list" allowBlank="1" sqref="M2:O4" xr:uid="{00000000-0002-0000-0700-000000000000}">
      <formula1>"Not Started,In Progress,Completed,Skipped"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1" width="18" customWidth="1"/>
  </cols>
  <sheetData>
    <row r="1" spans="1:11" ht="37.950000000000003" customHeight="1" x14ac:dyDescent="0.3">
      <c r="A1" s="1" t="s">
        <v>19</v>
      </c>
      <c r="B1" s="1" t="s">
        <v>240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247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3" width="18" customWidth="1"/>
  </cols>
  <sheetData>
    <row r="1" spans="1:13" ht="37.950000000000003" customHeight="1" x14ac:dyDescent="0.3">
      <c r="A1" s="1" t="s">
        <v>325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42</v>
      </c>
      <c r="J1" s="1" t="s">
        <v>333</v>
      </c>
      <c r="K1" s="1" t="s">
        <v>334</v>
      </c>
      <c r="L1" s="1" t="s">
        <v>335</v>
      </c>
      <c r="M1" s="1" t="s">
        <v>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3"/>
  <sheetViews>
    <sheetView showGridLines="0"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14" width="18" customWidth="1"/>
  </cols>
  <sheetData>
    <row r="1" spans="1:14" ht="37.950000000000003" customHeight="1" x14ac:dyDescent="0.3">
      <c r="A1" s="1" t="s">
        <v>336</v>
      </c>
      <c r="B1" s="1" t="s">
        <v>337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346</v>
      </c>
      <c r="L1" s="1" t="s">
        <v>347</v>
      </c>
      <c r="M1" s="1" t="s">
        <v>348</v>
      </c>
      <c r="N1" s="1" t="s">
        <v>349</v>
      </c>
    </row>
    <row r="2" spans="1:14" x14ac:dyDescent="0.3">
      <c r="A2" s="7">
        <v>46306</v>
      </c>
      <c r="B2" s="3"/>
      <c r="C2" s="3"/>
      <c r="D2" s="3"/>
      <c r="E2" s="3">
        <v>0</v>
      </c>
      <c r="F2" s="3">
        <v>0</v>
      </c>
      <c r="G2" s="3"/>
      <c r="H2" s="3"/>
      <c r="I2" s="3">
        <v>0</v>
      </c>
      <c r="J2" s="3">
        <v>0</v>
      </c>
      <c r="K2" s="3">
        <v>0</v>
      </c>
      <c r="L2" s="3">
        <v>0</v>
      </c>
      <c r="M2" s="3"/>
      <c r="N2" s="3"/>
    </row>
    <row r="3" spans="1:14" x14ac:dyDescent="0.3">
      <c r="A3" s="7">
        <v>46313</v>
      </c>
      <c r="B3" s="3"/>
      <c r="C3" s="3"/>
      <c r="D3" s="3"/>
      <c r="E3" s="3">
        <v>0</v>
      </c>
      <c r="F3" s="3">
        <v>0</v>
      </c>
      <c r="G3" s="3"/>
      <c r="H3" s="3"/>
      <c r="I3" s="3">
        <v>0</v>
      </c>
      <c r="J3" s="3">
        <v>0</v>
      </c>
      <c r="K3" s="3">
        <v>0</v>
      </c>
      <c r="L3" s="3">
        <v>0</v>
      </c>
      <c r="M3" s="3"/>
      <c r="N3" s="3"/>
    </row>
    <row r="4" spans="1:14" x14ac:dyDescent="0.3">
      <c r="A4" s="7">
        <v>46320</v>
      </c>
      <c r="B4" s="3"/>
      <c r="C4" s="3"/>
      <c r="D4" s="3"/>
      <c r="E4" s="3">
        <v>0</v>
      </c>
      <c r="F4" s="3">
        <v>0</v>
      </c>
      <c r="G4" s="3"/>
      <c r="H4" s="3"/>
      <c r="I4" s="3">
        <v>0</v>
      </c>
      <c r="J4" s="3">
        <v>0</v>
      </c>
      <c r="K4" s="3">
        <v>0</v>
      </c>
      <c r="L4" s="3">
        <v>0</v>
      </c>
      <c r="M4" s="3"/>
      <c r="N4" s="3"/>
    </row>
    <row r="5" spans="1:14" x14ac:dyDescent="0.3">
      <c r="A5" s="7">
        <v>46327</v>
      </c>
      <c r="B5" s="3"/>
      <c r="C5" s="3"/>
      <c r="D5" s="3"/>
      <c r="E5" s="3">
        <v>0</v>
      </c>
      <c r="F5" s="3">
        <v>0</v>
      </c>
      <c r="G5" s="3"/>
      <c r="H5" s="3"/>
      <c r="I5" s="3">
        <v>0</v>
      </c>
      <c r="J5" s="3">
        <v>0</v>
      </c>
      <c r="K5" s="3">
        <v>0</v>
      </c>
      <c r="L5" s="3">
        <v>0</v>
      </c>
      <c r="M5" s="3"/>
      <c r="N5" s="3"/>
    </row>
    <row r="6" spans="1:14" x14ac:dyDescent="0.3">
      <c r="A6" s="7">
        <v>46334</v>
      </c>
      <c r="B6" s="3"/>
      <c r="C6" s="3"/>
      <c r="D6" s="3"/>
      <c r="E6" s="3">
        <v>0</v>
      </c>
      <c r="F6" s="3">
        <v>0</v>
      </c>
      <c r="G6" s="3"/>
      <c r="H6" s="3"/>
      <c r="I6" s="3">
        <v>0</v>
      </c>
      <c r="J6" s="3">
        <v>0</v>
      </c>
      <c r="K6" s="3">
        <v>0</v>
      </c>
      <c r="L6" s="3">
        <v>0</v>
      </c>
      <c r="M6" s="3"/>
      <c r="N6" s="3"/>
    </row>
    <row r="7" spans="1:14" x14ac:dyDescent="0.3">
      <c r="A7" s="7">
        <v>46341</v>
      </c>
      <c r="B7" s="3"/>
      <c r="C7" s="3"/>
      <c r="D7" s="3"/>
      <c r="E7" s="3">
        <v>0</v>
      </c>
      <c r="F7" s="3">
        <v>0</v>
      </c>
      <c r="G7" s="3"/>
      <c r="H7" s="3"/>
      <c r="I7" s="3">
        <v>0</v>
      </c>
      <c r="J7" s="3">
        <v>0</v>
      </c>
      <c r="K7" s="3">
        <v>0</v>
      </c>
      <c r="L7" s="3">
        <v>0</v>
      </c>
      <c r="M7" s="3"/>
      <c r="N7" s="3"/>
    </row>
    <row r="8" spans="1:14" x14ac:dyDescent="0.3">
      <c r="A8" s="7">
        <v>46348</v>
      </c>
      <c r="B8" s="3"/>
      <c r="C8" s="3"/>
      <c r="D8" s="3"/>
      <c r="E8" s="3">
        <v>0</v>
      </c>
      <c r="F8" s="3">
        <v>0</v>
      </c>
      <c r="G8" s="3"/>
      <c r="H8" s="3"/>
      <c r="I8" s="3">
        <v>0</v>
      </c>
      <c r="J8" s="3">
        <v>0</v>
      </c>
      <c r="K8" s="3">
        <v>0</v>
      </c>
      <c r="L8" s="3">
        <v>0</v>
      </c>
      <c r="M8" s="3"/>
      <c r="N8" s="3"/>
    </row>
    <row r="9" spans="1:14" x14ac:dyDescent="0.3">
      <c r="A9" s="7">
        <v>46355</v>
      </c>
      <c r="B9" s="3"/>
      <c r="C9" s="3"/>
      <c r="D9" s="3"/>
      <c r="E9" s="3">
        <v>0</v>
      </c>
      <c r="F9" s="3">
        <v>0</v>
      </c>
      <c r="G9" s="3"/>
      <c r="H9" s="3"/>
      <c r="I9" s="3">
        <v>0</v>
      </c>
      <c r="J9" s="3">
        <v>0</v>
      </c>
      <c r="K9" s="3">
        <v>0</v>
      </c>
      <c r="L9" s="3">
        <v>0</v>
      </c>
      <c r="M9" s="3"/>
      <c r="N9" s="3"/>
    </row>
    <row r="10" spans="1:14" x14ac:dyDescent="0.3">
      <c r="A10" s="7">
        <v>46362</v>
      </c>
      <c r="B10" s="3"/>
      <c r="C10" s="3"/>
      <c r="D10" s="3"/>
      <c r="E10" s="3">
        <v>0</v>
      </c>
      <c r="F10" s="3">
        <v>0</v>
      </c>
      <c r="G10" s="3"/>
      <c r="H10" s="3"/>
      <c r="I10" s="3">
        <v>0</v>
      </c>
      <c r="J10" s="3">
        <v>0</v>
      </c>
      <c r="K10" s="3">
        <v>0</v>
      </c>
      <c r="L10" s="3">
        <v>0</v>
      </c>
      <c r="M10" s="3"/>
      <c r="N10" s="3"/>
    </row>
    <row r="11" spans="1:14" x14ac:dyDescent="0.3">
      <c r="A11" s="7">
        <v>46369</v>
      </c>
      <c r="B11" s="3"/>
      <c r="C11" s="3"/>
      <c r="D11" s="3"/>
      <c r="E11" s="3">
        <v>0</v>
      </c>
      <c r="F11" s="3">
        <v>0</v>
      </c>
      <c r="G11" s="3"/>
      <c r="H11" s="3"/>
      <c r="I11" s="3">
        <v>0</v>
      </c>
      <c r="J11" s="3">
        <v>0</v>
      </c>
      <c r="K11" s="3">
        <v>0</v>
      </c>
      <c r="L11" s="3">
        <v>0</v>
      </c>
      <c r="M11" s="3"/>
      <c r="N11" s="3"/>
    </row>
    <row r="12" spans="1:14" x14ac:dyDescent="0.3">
      <c r="A12" s="7">
        <v>46376</v>
      </c>
      <c r="B12" s="3"/>
      <c r="C12" s="3"/>
      <c r="D12" s="3"/>
      <c r="E12" s="3">
        <v>0</v>
      </c>
      <c r="F12" s="3">
        <v>0</v>
      </c>
      <c r="G12" s="3"/>
      <c r="H12" s="3"/>
      <c r="I12" s="3">
        <v>0</v>
      </c>
      <c r="J12" s="3">
        <v>0</v>
      </c>
      <c r="K12" s="3">
        <v>0</v>
      </c>
      <c r="L12" s="3">
        <v>0</v>
      </c>
      <c r="M12" s="3"/>
      <c r="N12" s="3"/>
    </row>
    <row r="13" spans="1:14" x14ac:dyDescent="0.3">
      <c r="A13" s="7">
        <v>46383</v>
      </c>
      <c r="B13" s="3"/>
      <c r="C13" s="3"/>
      <c r="D13" s="3"/>
      <c r="E13" s="3">
        <v>0</v>
      </c>
      <c r="F13" s="3">
        <v>0</v>
      </c>
      <c r="G13" s="3"/>
      <c r="H13" s="3"/>
      <c r="I13" s="3">
        <v>0</v>
      </c>
      <c r="J13" s="3">
        <v>0</v>
      </c>
      <c r="K13" s="3">
        <v>0</v>
      </c>
      <c r="L13" s="3">
        <v>0</v>
      </c>
      <c r="M13" s="3"/>
      <c r="N13" s="3"/>
    </row>
  </sheetData>
  <autoFilter ref="A1:N13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2"/>
  <sheetViews>
    <sheetView showGridLines="0" workbookViewId="0">
      <pane ySplit="1" topLeftCell="A2" activePane="bottomLeft" state="frozen"/>
      <selection pane="bottomLeft" activeCell="I6" sqref="I6"/>
    </sheetView>
  </sheetViews>
  <sheetFormatPr defaultRowHeight="14.4" x14ac:dyDescent="0.3"/>
  <cols>
    <col min="1" max="15" width="18" customWidth="1"/>
  </cols>
  <sheetData>
    <row r="1" spans="1:15" ht="37.950000000000003" customHeight="1" x14ac:dyDescent="0.3">
      <c r="A1" s="1" t="s">
        <v>19</v>
      </c>
      <c r="B1" s="1" t="s">
        <v>20</v>
      </c>
      <c r="C1" s="1" t="s">
        <v>115</v>
      </c>
      <c r="D1" s="1" t="s">
        <v>249</v>
      </c>
      <c r="E1" s="1" t="s">
        <v>350</v>
      </c>
      <c r="F1" s="1" t="s">
        <v>27</v>
      </c>
      <c r="G1" s="1" t="s">
        <v>351</v>
      </c>
      <c r="H1" s="1" t="s">
        <v>30</v>
      </c>
      <c r="I1" s="1" t="s">
        <v>344</v>
      </c>
      <c r="J1" s="1" t="s">
        <v>345</v>
      </c>
      <c r="K1" s="1" t="s">
        <v>346</v>
      </c>
      <c r="L1" s="1" t="s">
        <v>352</v>
      </c>
      <c r="M1" s="1" t="s">
        <v>247</v>
      </c>
      <c r="N1" s="1" t="s">
        <v>42</v>
      </c>
      <c r="O1" s="1" t="s">
        <v>227</v>
      </c>
    </row>
    <row r="2" spans="1:15" ht="57.6" x14ac:dyDescent="0.3">
      <c r="A2" s="6">
        <v>46388</v>
      </c>
      <c r="B2" s="3" t="s">
        <v>52</v>
      </c>
      <c r="C2" s="3" t="s">
        <v>353</v>
      </c>
      <c r="D2" s="3" t="s">
        <v>46</v>
      </c>
      <c r="E2" s="3" t="s">
        <v>46</v>
      </c>
      <c r="F2" s="3">
        <v>6</v>
      </c>
      <c r="G2" s="3" t="s">
        <v>46</v>
      </c>
      <c r="H2" s="3" t="s">
        <v>46</v>
      </c>
      <c r="I2" s="3" t="s">
        <v>46</v>
      </c>
      <c r="J2" s="3" t="s">
        <v>46</v>
      </c>
      <c r="K2" s="3" t="s">
        <v>46</v>
      </c>
      <c r="L2" s="3" t="s">
        <v>354</v>
      </c>
      <c r="M2" s="3">
        <v>0</v>
      </c>
      <c r="N2" s="3" t="s">
        <v>46</v>
      </c>
      <c r="O2" s="3"/>
    </row>
    <row r="3" spans="1:15" ht="57.6" x14ac:dyDescent="0.3">
      <c r="A3" s="6">
        <v>46389</v>
      </c>
      <c r="B3" s="3" t="s">
        <v>53</v>
      </c>
      <c r="C3" s="3" t="s">
        <v>353</v>
      </c>
      <c r="D3" s="3" t="s">
        <v>46</v>
      </c>
      <c r="E3" s="3" t="s">
        <v>46</v>
      </c>
      <c r="F3" s="3">
        <v>6</v>
      </c>
      <c r="G3" s="3" t="s">
        <v>46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354</v>
      </c>
      <c r="M3" s="3">
        <v>0</v>
      </c>
      <c r="N3" s="3" t="s">
        <v>46</v>
      </c>
      <c r="O3" s="3"/>
    </row>
    <row r="4" spans="1:15" ht="57.6" x14ac:dyDescent="0.3">
      <c r="A4" s="6">
        <v>46390</v>
      </c>
      <c r="B4" s="3" t="s">
        <v>54</v>
      </c>
      <c r="C4" s="3" t="s">
        <v>353</v>
      </c>
      <c r="D4" s="3" t="s">
        <v>46</v>
      </c>
      <c r="E4" s="3" t="s">
        <v>46</v>
      </c>
      <c r="F4" s="3">
        <v>6</v>
      </c>
      <c r="G4" s="3" t="s">
        <v>46</v>
      </c>
      <c r="H4" s="3" t="s">
        <v>46</v>
      </c>
      <c r="I4" s="3" t="s">
        <v>46</v>
      </c>
      <c r="J4" s="3" t="s">
        <v>46</v>
      </c>
      <c r="K4" s="3" t="s">
        <v>46</v>
      </c>
      <c r="L4" s="3" t="s">
        <v>354</v>
      </c>
      <c r="M4" s="3">
        <v>0</v>
      </c>
      <c r="N4" s="3" t="s">
        <v>46</v>
      </c>
      <c r="O4" s="3"/>
    </row>
    <row r="5" spans="1:15" ht="57.6" x14ac:dyDescent="0.3">
      <c r="A5" s="6">
        <v>46391</v>
      </c>
      <c r="B5" s="3" t="s">
        <v>60</v>
      </c>
      <c r="C5" s="3" t="s">
        <v>353</v>
      </c>
      <c r="D5" s="3" t="s">
        <v>46</v>
      </c>
      <c r="E5" s="3" t="s">
        <v>46</v>
      </c>
      <c r="F5" s="3">
        <v>6</v>
      </c>
      <c r="G5" s="3" t="s">
        <v>46</v>
      </c>
      <c r="H5" s="3" t="s">
        <v>46</v>
      </c>
      <c r="I5" s="3" t="s">
        <v>46</v>
      </c>
      <c r="J5" s="3" t="s">
        <v>46</v>
      </c>
      <c r="K5" s="3" t="s">
        <v>46</v>
      </c>
      <c r="L5" s="3" t="s">
        <v>354</v>
      </c>
      <c r="M5" s="3">
        <v>0</v>
      </c>
      <c r="N5" s="3" t="s">
        <v>46</v>
      </c>
      <c r="O5" s="3"/>
    </row>
    <row r="6" spans="1:15" ht="57.6" x14ac:dyDescent="0.3">
      <c r="A6" s="6">
        <v>46392</v>
      </c>
      <c r="B6" s="3" t="s">
        <v>61</v>
      </c>
      <c r="C6" s="3" t="s">
        <v>353</v>
      </c>
      <c r="D6" s="3" t="s">
        <v>46</v>
      </c>
      <c r="E6" s="3" t="s">
        <v>46</v>
      </c>
      <c r="F6" s="3">
        <v>6</v>
      </c>
      <c r="G6" s="3" t="s">
        <v>46</v>
      </c>
      <c r="H6" s="3" t="s">
        <v>46</v>
      </c>
      <c r="I6" s="3" t="s">
        <v>46</v>
      </c>
      <c r="J6" s="3" t="s">
        <v>46</v>
      </c>
      <c r="K6" s="3" t="s">
        <v>46</v>
      </c>
      <c r="L6" s="3" t="s">
        <v>354</v>
      </c>
      <c r="M6" s="3">
        <v>0</v>
      </c>
      <c r="N6" s="3" t="s">
        <v>46</v>
      </c>
      <c r="O6" s="3"/>
    </row>
    <row r="7" spans="1:15" ht="57.6" x14ac:dyDescent="0.3">
      <c r="A7" s="6">
        <v>46393</v>
      </c>
      <c r="B7" s="3" t="s">
        <v>43</v>
      </c>
      <c r="C7" s="3" t="s">
        <v>353</v>
      </c>
      <c r="D7" s="3" t="s">
        <v>46</v>
      </c>
      <c r="E7" s="3" t="s">
        <v>46</v>
      </c>
      <c r="F7" s="3">
        <v>6</v>
      </c>
      <c r="G7" s="3" t="s">
        <v>46</v>
      </c>
      <c r="H7" s="3" t="s">
        <v>46</v>
      </c>
      <c r="I7" s="3" t="s">
        <v>46</v>
      </c>
      <c r="J7" s="3" t="s">
        <v>46</v>
      </c>
      <c r="K7" s="3" t="s">
        <v>46</v>
      </c>
      <c r="L7" s="3" t="s">
        <v>354</v>
      </c>
      <c r="M7" s="3">
        <v>0</v>
      </c>
      <c r="N7" s="3" t="s">
        <v>46</v>
      </c>
      <c r="O7" s="3"/>
    </row>
    <row r="8" spans="1:15" ht="57.6" x14ac:dyDescent="0.3">
      <c r="A8" s="6">
        <v>46394</v>
      </c>
      <c r="B8" s="3" t="s">
        <v>51</v>
      </c>
      <c r="C8" s="3" t="s">
        <v>353</v>
      </c>
      <c r="D8" s="3" t="s">
        <v>46</v>
      </c>
      <c r="E8" s="3" t="s">
        <v>46</v>
      </c>
      <c r="F8" s="3">
        <v>6</v>
      </c>
      <c r="G8" s="3" t="s">
        <v>46</v>
      </c>
      <c r="H8" s="3" t="s">
        <v>46</v>
      </c>
      <c r="I8" s="3" t="s">
        <v>46</v>
      </c>
      <c r="J8" s="3" t="s">
        <v>46</v>
      </c>
      <c r="K8" s="3" t="s">
        <v>46</v>
      </c>
      <c r="L8" s="3" t="s">
        <v>354</v>
      </c>
      <c r="M8" s="3">
        <v>0</v>
      </c>
      <c r="N8" s="3" t="s">
        <v>46</v>
      </c>
      <c r="O8" s="3"/>
    </row>
    <row r="9" spans="1:15" ht="57.6" x14ac:dyDescent="0.3">
      <c r="A9" s="6">
        <v>46395</v>
      </c>
      <c r="B9" s="3" t="s">
        <v>52</v>
      </c>
      <c r="C9" s="3" t="s">
        <v>353</v>
      </c>
      <c r="D9" s="3" t="s">
        <v>46</v>
      </c>
      <c r="E9" s="3" t="s">
        <v>46</v>
      </c>
      <c r="F9" s="3">
        <v>6</v>
      </c>
      <c r="G9" s="3" t="s">
        <v>46</v>
      </c>
      <c r="H9" s="3" t="s">
        <v>46</v>
      </c>
      <c r="I9" s="3" t="s">
        <v>46</v>
      </c>
      <c r="J9" s="3" t="s">
        <v>46</v>
      </c>
      <c r="K9" s="3" t="s">
        <v>46</v>
      </c>
      <c r="L9" s="3" t="s">
        <v>354</v>
      </c>
      <c r="M9" s="3">
        <v>0</v>
      </c>
      <c r="N9" s="3" t="s">
        <v>46</v>
      </c>
      <c r="O9" s="3"/>
    </row>
    <row r="10" spans="1:15" ht="57.6" x14ac:dyDescent="0.3">
      <c r="A10" s="6">
        <v>46396</v>
      </c>
      <c r="B10" s="3" t="s">
        <v>53</v>
      </c>
      <c r="C10" s="3" t="s">
        <v>353</v>
      </c>
      <c r="D10" s="3" t="s">
        <v>46</v>
      </c>
      <c r="E10" s="3" t="s">
        <v>46</v>
      </c>
      <c r="F10" s="3">
        <v>6</v>
      </c>
      <c r="G10" s="3" t="s">
        <v>46</v>
      </c>
      <c r="H10" s="3" t="s">
        <v>46</v>
      </c>
      <c r="I10" s="3" t="s">
        <v>46</v>
      </c>
      <c r="J10" s="3" t="s">
        <v>46</v>
      </c>
      <c r="K10" s="3" t="s">
        <v>46</v>
      </c>
      <c r="L10" s="3" t="s">
        <v>354</v>
      </c>
      <c r="M10" s="3">
        <v>0</v>
      </c>
      <c r="N10" s="3" t="s">
        <v>46</v>
      </c>
      <c r="O10" s="3"/>
    </row>
    <row r="11" spans="1:15" ht="57.6" x14ac:dyDescent="0.3">
      <c r="A11" s="6">
        <v>46397</v>
      </c>
      <c r="B11" s="3" t="s">
        <v>54</v>
      </c>
      <c r="C11" s="3" t="s">
        <v>353</v>
      </c>
      <c r="D11" s="3" t="s">
        <v>46</v>
      </c>
      <c r="E11" s="3" t="s">
        <v>46</v>
      </c>
      <c r="F11" s="3">
        <v>6</v>
      </c>
      <c r="G11" s="3" t="s">
        <v>46</v>
      </c>
      <c r="H11" s="3" t="s">
        <v>46</v>
      </c>
      <c r="I11" s="3" t="s">
        <v>46</v>
      </c>
      <c r="J11" s="3" t="s">
        <v>46</v>
      </c>
      <c r="K11" s="3" t="s">
        <v>46</v>
      </c>
      <c r="L11" s="3" t="s">
        <v>354</v>
      </c>
      <c r="M11" s="3">
        <v>0</v>
      </c>
      <c r="N11" s="3" t="s">
        <v>46</v>
      </c>
      <c r="O11" s="3"/>
    </row>
    <row r="12" spans="1:15" ht="57.6" x14ac:dyDescent="0.3">
      <c r="A12" s="6">
        <v>46398</v>
      </c>
      <c r="B12" s="3" t="s">
        <v>60</v>
      </c>
      <c r="C12" s="3" t="s">
        <v>353</v>
      </c>
      <c r="D12" s="3" t="s">
        <v>46</v>
      </c>
      <c r="E12" s="3" t="s">
        <v>46</v>
      </c>
      <c r="F12" s="3">
        <v>6</v>
      </c>
      <c r="G12" s="3" t="s">
        <v>46</v>
      </c>
      <c r="H12" s="3" t="s">
        <v>46</v>
      </c>
      <c r="I12" s="3" t="s">
        <v>46</v>
      </c>
      <c r="J12" s="3" t="s">
        <v>46</v>
      </c>
      <c r="K12" s="3" t="s">
        <v>46</v>
      </c>
      <c r="L12" s="3" t="s">
        <v>354</v>
      </c>
      <c r="M12" s="3">
        <v>0</v>
      </c>
      <c r="N12" s="3" t="s">
        <v>46</v>
      </c>
      <c r="O12" s="3"/>
    </row>
    <row r="13" spans="1:15" ht="57.6" x14ac:dyDescent="0.3">
      <c r="A13" s="6">
        <v>46399</v>
      </c>
      <c r="B13" s="3" t="s">
        <v>61</v>
      </c>
      <c r="C13" s="3" t="s">
        <v>353</v>
      </c>
      <c r="D13" s="3" t="s">
        <v>46</v>
      </c>
      <c r="E13" s="3" t="s">
        <v>46</v>
      </c>
      <c r="F13" s="3">
        <v>6</v>
      </c>
      <c r="G13" s="3" t="s">
        <v>46</v>
      </c>
      <c r="H13" s="3" t="s">
        <v>46</v>
      </c>
      <c r="I13" s="3" t="s">
        <v>46</v>
      </c>
      <c r="J13" s="3" t="s">
        <v>46</v>
      </c>
      <c r="K13" s="3" t="s">
        <v>46</v>
      </c>
      <c r="L13" s="3" t="s">
        <v>354</v>
      </c>
      <c r="M13" s="3">
        <v>0</v>
      </c>
      <c r="N13" s="3" t="s">
        <v>46</v>
      </c>
      <c r="O13" s="3"/>
    </row>
    <row r="14" spans="1:15" ht="57.6" x14ac:dyDescent="0.3">
      <c r="A14" s="6">
        <v>46400</v>
      </c>
      <c r="B14" s="3" t="s">
        <v>43</v>
      </c>
      <c r="C14" s="3" t="s">
        <v>353</v>
      </c>
      <c r="D14" s="3" t="s">
        <v>46</v>
      </c>
      <c r="E14" s="3" t="s">
        <v>46</v>
      </c>
      <c r="F14" s="3">
        <v>6</v>
      </c>
      <c r="G14" s="3" t="s">
        <v>46</v>
      </c>
      <c r="H14" s="3" t="s">
        <v>46</v>
      </c>
      <c r="I14" s="3" t="s">
        <v>46</v>
      </c>
      <c r="J14" s="3" t="s">
        <v>46</v>
      </c>
      <c r="K14" s="3" t="s">
        <v>46</v>
      </c>
      <c r="L14" s="3" t="s">
        <v>354</v>
      </c>
      <c r="M14" s="3">
        <v>0</v>
      </c>
      <c r="N14" s="3" t="s">
        <v>46</v>
      </c>
      <c r="O14" s="3"/>
    </row>
    <row r="15" spans="1:15" ht="57.6" x14ac:dyDescent="0.3">
      <c r="A15" s="6">
        <v>46401</v>
      </c>
      <c r="B15" s="3" t="s">
        <v>51</v>
      </c>
      <c r="C15" s="3" t="s">
        <v>353</v>
      </c>
      <c r="D15" s="3" t="s">
        <v>46</v>
      </c>
      <c r="E15" s="3" t="s">
        <v>46</v>
      </c>
      <c r="F15" s="3">
        <v>6</v>
      </c>
      <c r="G15" s="3" t="s">
        <v>46</v>
      </c>
      <c r="H15" s="3" t="s">
        <v>46</v>
      </c>
      <c r="I15" s="3" t="s">
        <v>46</v>
      </c>
      <c r="J15" s="3" t="s">
        <v>46</v>
      </c>
      <c r="K15" s="3" t="s">
        <v>46</v>
      </c>
      <c r="L15" s="3" t="s">
        <v>354</v>
      </c>
      <c r="M15" s="3">
        <v>0</v>
      </c>
      <c r="N15" s="3" t="s">
        <v>46</v>
      </c>
      <c r="O15" s="3"/>
    </row>
    <row r="16" spans="1:15" ht="57.6" x14ac:dyDescent="0.3">
      <c r="A16" s="6">
        <v>46402</v>
      </c>
      <c r="B16" s="3" t="s">
        <v>52</v>
      </c>
      <c r="C16" s="3" t="s">
        <v>353</v>
      </c>
      <c r="D16" s="3" t="s">
        <v>46</v>
      </c>
      <c r="E16" s="3" t="s">
        <v>46</v>
      </c>
      <c r="F16" s="3">
        <v>6</v>
      </c>
      <c r="G16" s="3" t="s">
        <v>46</v>
      </c>
      <c r="H16" s="3" t="s">
        <v>46</v>
      </c>
      <c r="I16" s="3" t="s">
        <v>46</v>
      </c>
      <c r="J16" s="3" t="s">
        <v>46</v>
      </c>
      <c r="K16" s="3" t="s">
        <v>46</v>
      </c>
      <c r="L16" s="3" t="s">
        <v>354</v>
      </c>
      <c r="M16" s="3">
        <v>0</v>
      </c>
      <c r="N16" s="3" t="s">
        <v>46</v>
      </c>
      <c r="O16" s="3"/>
    </row>
    <row r="17" spans="1:15" ht="57.6" x14ac:dyDescent="0.3">
      <c r="A17" s="6">
        <v>46403</v>
      </c>
      <c r="B17" s="3" t="s">
        <v>53</v>
      </c>
      <c r="C17" s="3" t="s">
        <v>353</v>
      </c>
      <c r="D17" s="3" t="s">
        <v>46</v>
      </c>
      <c r="E17" s="3" t="s">
        <v>46</v>
      </c>
      <c r="F17" s="3">
        <v>6</v>
      </c>
      <c r="G17" s="3" t="s">
        <v>46</v>
      </c>
      <c r="H17" s="3" t="s">
        <v>46</v>
      </c>
      <c r="I17" s="3" t="s">
        <v>46</v>
      </c>
      <c r="J17" s="3" t="s">
        <v>46</v>
      </c>
      <c r="K17" s="3" t="s">
        <v>46</v>
      </c>
      <c r="L17" s="3" t="s">
        <v>354</v>
      </c>
      <c r="M17" s="3">
        <v>0</v>
      </c>
      <c r="N17" s="3" t="s">
        <v>46</v>
      </c>
      <c r="O17" s="3"/>
    </row>
    <row r="18" spans="1:15" ht="57.6" x14ac:dyDescent="0.3">
      <c r="A18" s="6">
        <v>46404</v>
      </c>
      <c r="B18" s="3" t="s">
        <v>54</v>
      </c>
      <c r="C18" s="3" t="s">
        <v>353</v>
      </c>
      <c r="D18" s="3" t="s">
        <v>46</v>
      </c>
      <c r="E18" s="3" t="s">
        <v>46</v>
      </c>
      <c r="F18" s="3">
        <v>6</v>
      </c>
      <c r="G18" s="3" t="s">
        <v>46</v>
      </c>
      <c r="H18" s="3" t="s">
        <v>46</v>
      </c>
      <c r="I18" s="3" t="s">
        <v>46</v>
      </c>
      <c r="J18" s="3" t="s">
        <v>46</v>
      </c>
      <c r="K18" s="3" t="s">
        <v>46</v>
      </c>
      <c r="L18" s="3" t="s">
        <v>354</v>
      </c>
      <c r="M18" s="3">
        <v>0</v>
      </c>
      <c r="N18" s="3" t="s">
        <v>46</v>
      </c>
      <c r="O18" s="3"/>
    </row>
    <row r="19" spans="1:15" ht="57.6" x14ac:dyDescent="0.3">
      <c r="A19" s="6">
        <v>46405</v>
      </c>
      <c r="B19" s="3" t="s">
        <v>60</v>
      </c>
      <c r="C19" s="3" t="s">
        <v>353</v>
      </c>
      <c r="D19" s="3" t="s">
        <v>46</v>
      </c>
      <c r="E19" s="3" t="s">
        <v>46</v>
      </c>
      <c r="F19" s="3">
        <v>6</v>
      </c>
      <c r="G19" s="3" t="s">
        <v>46</v>
      </c>
      <c r="H19" s="3" t="s">
        <v>46</v>
      </c>
      <c r="I19" s="3" t="s">
        <v>46</v>
      </c>
      <c r="J19" s="3" t="s">
        <v>46</v>
      </c>
      <c r="K19" s="3" t="s">
        <v>46</v>
      </c>
      <c r="L19" s="3" t="s">
        <v>354</v>
      </c>
      <c r="M19" s="3">
        <v>0</v>
      </c>
      <c r="N19" s="3" t="s">
        <v>46</v>
      </c>
      <c r="O19" s="3"/>
    </row>
    <row r="20" spans="1:15" ht="57.6" x14ac:dyDescent="0.3">
      <c r="A20" s="6">
        <v>46406</v>
      </c>
      <c r="B20" s="3" t="s">
        <v>61</v>
      </c>
      <c r="C20" s="3" t="s">
        <v>353</v>
      </c>
      <c r="D20" s="3" t="s">
        <v>46</v>
      </c>
      <c r="E20" s="3" t="s">
        <v>46</v>
      </c>
      <c r="F20" s="3">
        <v>6</v>
      </c>
      <c r="G20" s="3" t="s">
        <v>46</v>
      </c>
      <c r="H20" s="3" t="s">
        <v>46</v>
      </c>
      <c r="I20" s="3" t="s">
        <v>46</v>
      </c>
      <c r="J20" s="3" t="s">
        <v>46</v>
      </c>
      <c r="K20" s="3" t="s">
        <v>46</v>
      </c>
      <c r="L20" s="3" t="s">
        <v>354</v>
      </c>
      <c r="M20" s="3">
        <v>0</v>
      </c>
      <c r="N20" s="3" t="s">
        <v>46</v>
      </c>
      <c r="O20" s="3"/>
    </row>
    <row r="21" spans="1:15" ht="57.6" x14ac:dyDescent="0.3">
      <c r="A21" s="6">
        <v>46407</v>
      </c>
      <c r="B21" s="3" t="s">
        <v>43</v>
      </c>
      <c r="C21" s="3" t="s">
        <v>353</v>
      </c>
      <c r="D21" s="3" t="s">
        <v>46</v>
      </c>
      <c r="E21" s="3" t="s">
        <v>46</v>
      </c>
      <c r="F21" s="3">
        <v>6</v>
      </c>
      <c r="G21" s="3" t="s">
        <v>46</v>
      </c>
      <c r="H21" s="3" t="s">
        <v>46</v>
      </c>
      <c r="I21" s="3" t="s">
        <v>46</v>
      </c>
      <c r="J21" s="3" t="s">
        <v>46</v>
      </c>
      <c r="K21" s="3" t="s">
        <v>46</v>
      </c>
      <c r="L21" s="3" t="s">
        <v>354</v>
      </c>
      <c r="M21" s="3">
        <v>0</v>
      </c>
      <c r="N21" s="3" t="s">
        <v>46</v>
      </c>
      <c r="O21" s="3"/>
    </row>
    <row r="22" spans="1:15" ht="57.6" x14ac:dyDescent="0.3">
      <c r="A22" s="6">
        <v>46408</v>
      </c>
      <c r="B22" s="3" t="s">
        <v>51</v>
      </c>
      <c r="C22" s="3" t="s">
        <v>353</v>
      </c>
      <c r="D22" s="3" t="s">
        <v>46</v>
      </c>
      <c r="E22" s="3" t="s">
        <v>46</v>
      </c>
      <c r="F22" s="3">
        <v>6</v>
      </c>
      <c r="G22" s="3" t="s">
        <v>46</v>
      </c>
      <c r="H22" s="3" t="s">
        <v>46</v>
      </c>
      <c r="I22" s="3" t="s">
        <v>46</v>
      </c>
      <c r="J22" s="3" t="s">
        <v>46</v>
      </c>
      <c r="K22" s="3" t="s">
        <v>46</v>
      </c>
      <c r="L22" s="3" t="s">
        <v>354</v>
      </c>
      <c r="M22" s="3">
        <v>0</v>
      </c>
      <c r="N22" s="3" t="s">
        <v>46</v>
      </c>
      <c r="O22" s="3"/>
    </row>
    <row r="23" spans="1:15" ht="57.6" x14ac:dyDescent="0.3">
      <c r="A23" s="6">
        <v>46409</v>
      </c>
      <c r="B23" s="3" t="s">
        <v>52</v>
      </c>
      <c r="C23" s="3" t="s">
        <v>353</v>
      </c>
      <c r="D23" s="3" t="s">
        <v>46</v>
      </c>
      <c r="E23" s="3" t="s">
        <v>46</v>
      </c>
      <c r="F23" s="3">
        <v>6</v>
      </c>
      <c r="G23" s="3" t="s">
        <v>46</v>
      </c>
      <c r="H23" s="3" t="s">
        <v>46</v>
      </c>
      <c r="I23" s="3" t="s">
        <v>46</v>
      </c>
      <c r="J23" s="3" t="s">
        <v>46</v>
      </c>
      <c r="K23" s="3" t="s">
        <v>46</v>
      </c>
      <c r="L23" s="3" t="s">
        <v>354</v>
      </c>
      <c r="M23" s="3">
        <v>0</v>
      </c>
      <c r="N23" s="3" t="s">
        <v>46</v>
      </c>
      <c r="O23" s="3"/>
    </row>
    <row r="24" spans="1:15" ht="57.6" x14ac:dyDescent="0.3">
      <c r="A24" s="6">
        <v>46410</v>
      </c>
      <c r="B24" s="3" t="s">
        <v>53</v>
      </c>
      <c r="C24" s="3" t="s">
        <v>353</v>
      </c>
      <c r="D24" s="3" t="s">
        <v>46</v>
      </c>
      <c r="E24" s="3" t="s">
        <v>46</v>
      </c>
      <c r="F24" s="3">
        <v>6</v>
      </c>
      <c r="G24" s="3" t="s">
        <v>46</v>
      </c>
      <c r="H24" s="3" t="s">
        <v>46</v>
      </c>
      <c r="I24" s="3" t="s">
        <v>46</v>
      </c>
      <c r="J24" s="3" t="s">
        <v>46</v>
      </c>
      <c r="K24" s="3" t="s">
        <v>46</v>
      </c>
      <c r="L24" s="3" t="s">
        <v>354</v>
      </c>
      <c r="M24" s="3">
        <v>0</v>
      </c>
      <c r="N24" s="3" t="s">
        <v>46</v>
      </c>
      <c r="O24" s="3"/>
    </row>
    <row r="25" spans="1:15" ht="57.6" x14ac:dyDescent="0.3">
      <c r="A25" s="6">
        <v>46411</v>
      </c>
      <c r="B25" s="3" t="s">
        <v>54</v>
      </c>
      <c r="C25" s="3" t="s">
        <v>353</v>
      </c>
      <c r="D25" s="3" t="s">
        <v>46</v>
      </c>
      <c r="E25" s="3" t="s">
        <v>46</v>
      </c>
      <c r="F25" s="3">
        <v>6</v>
      </c>
      <c r="G25" s="3" t="s">
        <v>46</v>
      </c>
      <c r="H25" s="3" t="s">
        <v>46</v>
      </c>
      <c r="I25" s="3" t="s">
        <v>46</v>
      </c>
      <c r="J25" s="3" t="s">
        <v>46</v>
      </c>
      <c r="K25" s="3" t="s">
        <v>46</v>
      </c>
      <c r="L25" s="3" t="s">
        <v>354</v>
      </c>
      <c r="M25" s="3">
        <v>0</v>
      </c>
      <c r="N25" s="3" t="s">
        <v>46</v>
      </c>
      <c r="O25" s="3"/>
    </row>
    <row r="26" spans="1:15" ht="57.6" x14ac:dyDescent="0.3">
      <c r="A26" s="6">
        <v>46412</v>
      </c>
      <c r="B26" s="3" t="s">
        <v>60</v>
      </c>
      <c r="C26" s="3" t="s">
        <v>353</v>
      </c>
      <c r="D26" s="3" t="s">
        <v>46</v>
      </c>
      <c r="E26" s="3" t="s">
        <v>46</v>
      </c>
      <c r="F26" s="3">
        <v>6</v>
      </c>
      <c r="G26" s="3" t="s">
        <v>46</v>
      </c>
      <c r="H26" s="3" t="s">
        <v>46</v>
      </c>
      <c r="I26" s="3" t="s">
        <v>46</v>
      </c>
      <c r="J26" s="3" t="s">
        <v>46</v>
      </c>
      <c r="K26" s="3" t="s">
        <v>46</v>
      </c>
      <c r="L26" s="3" t="s">
        <v>354</v>
      </c>
      <c r="M26" s="3">
        <v>0</v>
      </c>
      <c r="N26" s="3" t="s">
        <v>46</v>
      </c>
      <c r="O26" s="3"/>
    </row>
    <row r="27" spans="1:15" ht="57.6" x14ac:dyDescent="0.3">
      <c r="A27" s="6">
        <v>46413</v>
      </c>
      <c r="B27" s="3" t="s">
        <v>61</v>
      </c>
      <c r="C27" s="3" t="s">
        <v>353</v>
      </c>
      <c r="D27" s="3" t="s">
        <v>46</v>
      </c>
      <c r="E27" s="3" t="s">
        <v>46</v>
      </c>
      <c r="F27" s="3">
        <v>6</v>
      </c>
      <c r="G27" s="3" t="s">
        <v>46</v>
      </c>
      <c r="H27" s="3" t="s">
        <v>46</v>
      </c>
      <c r="I27" s="3" t="s">
        <v>46</v>
      </c>
      <c r="J27" s="3" t="s">
        <v>46</v>
      </c>
      <c r="K27" s="3" t="s">
        <v>46</v>
      </c>
      <c r="L27" s="3" t="s">
        <v>354</v>
      </c>
      <c r="M27" s="3">
        <v>0</v>
      </c>
      <c r="N27" s="3" t="s">
        <v>46</v>
      </c>
      <c r="O27" s="3"/>
    </row>
    <row r="28" spans="1:15" ht="57.6" x14ac:dyDescent="0.3">
      <c r="A28" s="6">
        <v>46414</v>
      </c>
      <c r="B28" s="3" t="s">
        <v>43</v>
      </c>
      <c r="C28" s="3" t="s">
        <v>353</v>
      </c>
      <c r="D28" s="3" t="s">
        <v>46</v>
      </c>
      <c r="E28" s="3" t="s">
        <v>46</v>
      </c>
      <c r="F28" s="3">
        <v>6</v>
      </c>
      <c r="G28" s="3" t="s">
        <v>46</v>
      </c>
      <c r="H28" s="3" t="s">
        <v>46</v>
      </c>
      <c r="I28" s="3" t="s">
        <v>46</v>
      </c>
      <c r="J28" s="3" t="s">
        <v>46</v>
      </c>
      <c r="K28" s="3" t="s">
        <v>46</v>
      </c>
      <c r="L28" s="3" t="s">
        <v>354</v>
      </c>
      <c r="M28" s="3">
        <v>0</v>
      </c>
      <c r="N28" s="3" t="s">
        <v>46</v>
      </c>
      <c r="O28" s="3"/>
    </row>
    <row r="29" spans="1:15" ht="57.6" x14ac:dyDescent="0.3">
      <c r="A29" s="6">
        <v>46415</v>
      </c>
      <c r="B29" s="3" t="s">
        <v>51</v>
      </c>
      <c r="C29" s="3" t="s">
        <v>353</v>
      </c>
      <c r="D29" s="3" t="s">
        <v>46</v>
      </c>
      <c r="E29" s="3" t="s">
        <v>46</v>
      </c>
      <c r="F29" s="3">
        <v>6</v>
      </c>
      <c r="G29" s="3" t="s">
        <v>46</v>
      </c>
      <c r="H29" s="3" t="s">
        <v>46</v>
      </c>
      <c r="I29" s="3" t="s">
        <v>46</v>
      </c>
      <c r="J29" s="3" t="s">
        <v>46</v>
      </c>
      <c r="K29" s="3" t="s">
        <v>46</v>
      </c>
      <c r="L29" s="3" t="s">
        <v>354</v>
      </c>
      <c r="M29" s="3">
        <v>0</v>
      </c>
      <c r="N29" s="3" t="s">
        <v>46</v>
      </c>
      <c r="O29" s="3"/>
    </row>
    <row r="30" spans="1:15" ht="57.6" x14ac:dyDescent="0.3">
      <c r="A30" s="6">
        <v>46416</v>
      </c>
      <c r="B30" s="3" t="s">
        <v>52</v>
      </c>
      <c r="C30" s="3" t="s">
        <v>353</v>
      </c>
      <c r="D30" s="3" t="s">
        <v>46</v>
      </c>
      <c r="E30" s="3" t="s">
        <v>46</v>
      </c>
      <c r="F30" s="3">
        <v>6</v>
      </c>
      <c r="G30" s="3" t="s">
        <v>46</v>
      </c>
      <c r="H30" s="3" t="s">
        <v>46</v>
      </c>
      <c r="I30" s="3" t="s">
        <v>46</v>
      </c>
      <c r="J30" s="3" t="s">
        <v>46</v>
      </c>
      <c r="K30" s="3" t="s">
        <v>46</v>
      </c>
      <c r="L30" s="3" t="s">
        <v>354</v>
      </c>
      <c r="M30" s="3">
        <v>0</v>
      </c>
      <c r="N30" s="3" t="s">
        <v>46</v>
      </c>
      <c r="O30" s="3"/>
    </row>
    <row r="31" spans="1:15" ht="57.6" x14ac:dyDescent="0.3">
      <c r="A31" s="6">
        <v>46417</v>
      </c>
      <c r="B31" s="3" t="s">
        <v>53</v>
      </c>
      <c r="C31" s="3" t="s">
        <v>353</v>
      </c>
      <c r="D31" s="3" t="s">
        <v>46</v>
      </c>
      <c r="E31" s="3" t="s">
        <v>46</v>
      </c>
      <c r="F31" s="3">
        <v>6</v>
      </c>
      <c r="G31" s="3" t="s">
        <v>46</v>
      </c>
      <c r="H31" s="3" t="s">
        <v>46</v>
      </c>
      <c r="I31" s="3" t="s">
        <v>46</v>
      </c>
      <c r="J31" s="3" t="s">
        <v>46</v>
      </c>
      <c r="K31" s="3" t="s">
        <v>46</v>
      </c>
      <c r="L31" s="3" t="s">
        <v>354</v>
      </c>
      <c r="M31" s="3">
        <v>0</v>
      </c>
      <c r="N31" s="3" t="s">
        <v>46</v>
      </c>
      <c r="O31" s="3"/>
    </row>
    <row r="32" spans="1:15" ht="57.6" x14ac:dyDescent="0.3">
      <c r="A32" s="6">
        <v>46418</v>
      </c>
      <c r="B32" s="3" t="s">
        <v>54</v>
      </c>
      <c r="C32" s="3" t="s">
        <v>353</v>
      </c>
      <c r="D32" s="3" t="s">
        <v>46</v>
      </c>
      <c r="E32" s="3" t="s">
        <v>46</v>
      </c>
      <c r="F32" s="3">
        <v>6</v>
      </c>
      <c r="G32" s="3" t="s">
        <v>46</v>
      </c>
      <c r="H32" s="3" t="s">
        <v>46</v>
      </c>
      <c r="I32" s="3" t="s">
        <v>46</v>
      </c>
      <c r="J32" s="3" t="s">
        <v>46</v>
      </c>
      <c r="K32" s="3" t="s">
        <v>46</v>
      </c>
      <c r="L32" s="3" t="s">
        <v>354</v>
      </c>
      <c r="M32" s="3">
        <v>0</v>
      </c>
      <c r="N32" s="3" t="s">
        <v>46</v>
      </c>
      <c r="O32" s="3"/>
    </row>
  </sheetData>
  <autoFilter ref="A1:O32" xr:uid="{00000000-0009-0000-0000-00000B000000}"/>
  <dataValidations count="1">
    <dataValidation type="list" allowBlank="1" sqref="D2:E32 G2:J32 N2:N32" xr:uid="{00000000-0002-0000-0B00-000000000000}">
      <formula1>"Not Started,In Progress,Completed,Skipped"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Daily Tracker</vt:lpstr>
      <vt:lpstr>Detailed Timetable</vt:lpstr>
      <vt:lpstr>Daily Schedule</vt:lpstr>
      <vt:lpstr>Monthly Goals</vt:lpstr>
      <vt:lpstr>Topic Tracker</vt:lpstr>
      <vt:lpstr>Module Tracker</vt:lpstr>
      <vt:lpstr>Project Tracker</vt:lpstr>
      <vt:lpstr>Interview Tracker</vt:lpstr>
      <vt:lpstr>Job Application Tracker</vt:lpstr>
      <vt:lpstr>Weekly Review</vt:lpstr>
      <vt:lpstr>Jan+ Continuation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hazarika</cp:lastModifiedBy>
  <dcterms:created xsi:type="dcterms:W3CDTF">2026-10-07T12:13:59Z</dcterms:created>
  <dcterms:modified xsi:type="dcterms:W3CDTF">2026-10-07T18:50:00Z</dcterms:modified>
</cp:coreProperties>
</file>